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7"/>
  <workbookPr/>
  <mc:AlternateContent xmlns:mc="http://schemas.openxmlformats.org/markup-compatibility/2006">
    <mc:Choice Requires="x15">
      <x15ac:absPath xmlns:x15ac="http://schemas.microsoft.com/office/spreadsheetml/2010/11/ac" url="D:\Pobrane\"/>
    </mc:Choice>
  </mc:AlternateContent>
  <xr:revisionPtr revIDLastSave="0" documentId="13_ncr:1_{17A3DAA8-1002-489D-8BFB-502B2C24AFAD}" xr6:coauthVersionLast="47" xr6:coauthVersionMax="47" xr10:uidLastSave="{00000000-0000-0000-0000-000000000000}"/>
  <bookViews>
    <workbookView xWindow="-120" yWindow="540" windowWidth="29040" windowHeight="15180" xr2:uid="{5BAD96E1-792E-44E3-9726-B13F899497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F40" i="1" s="1"/>
  <c r="D41" i="1"/>
  <c r="E41" i="1" s="1"/>
  <c r="F41" i="1" s="1"/>
  <c r="D42" i="1"/>
  <c r="E42" i="1" s="1"/>
  <c r="F42" i="1" s="1"/>
  <c r="D43" i="1"/>
  <c r="E43" i="1" s="1"/>
  <c r="F43" i="1" s="1"/>
  <c r="D44" i="1"/>
  <c r="E44" i="1"/>
  <c r="F44" i="1" s="1"/>
  <c r="D45" i="1"/>
  <c r="E45" i="1" s="1"/>
  <c r="F45" i="1" s="1"/>
  <c r="D13" i="1"/>
  <c r="D12" i="1"/>
  <c r="E12" i="1" s="1"/>
  <c r="F12" i="1" s="1"/>
  <c r="D11" i="1"/>
  <c r="D10" i="1"/>
  <c r="E10" i="1" s="1"/>
  <c r="F10" i="1" s="1"/>
  <c r="D9" i="1"/>
  <c r="E9" i="1" s="1"/>
  <c r="F9" i="1" s="1"/>
  <c r="E11" i="1"/>
  <c r="F11" i="1" s="1"/>
  <c r="E13" i="1"/>
  <c r="F13" i="1" s="1"/>
  <c r="E8" i="1"/>
  <c r="F8" i="1" s="1"/>
  <c r="H8" i="1" s="1"/>
  <c r="K1" i="1"/>
  <c r="H40" i="1" l="1"/>
</calcChain>
</file>

<file path=xl/sharedStrings.xml><?xml version="1.0" encoding="utf-8"?>
<sst xmlns="http://schemas.openxmlformats.org/spreadsheetml/2006/main" count="41" uniqueCount="15">
  <si>
    <t>Masa zlewki</t>
  </si>
  <si>
    <t>Pompka</t>
  </si>
  <si>
    <t>NIEBIESKA</t>
  </si>
  <si>
    <t>KREMOWA</t>
  </si>
  <si>
    <t>BORDOWA</t>
  </si>
  <si>
    <t>MIKROPIPETA [ml]</t>
  </si>
  <si>
    <t>POMPKA KREMOWA [ml]</t>
  </si>
  <si>
    <t>RÓŻNICA</t>
  </si>
  <si>
    <t>BŁĄD [%]</t>
  </si>
  <si>
    <t>RODZAJ PIPETY</t>
  </si>
  <si>
    <t>ŚREDNI BŁĄD [%]</t>
  </si>
  <si>
    <t>PIPETA MAX 10ml</t>
  </si>
  <si>
    <t>PIPETA MAX 5ml</t>
  </si>
  <si>
    <t>POMPKA BORDOWA [ml]</t>
  </si>
  <si>
    <t>POMPKA NIEBIESKA [ml]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</si>
</sst>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 PROCENTOWY</a:t>
            </a:r>
          </a:p>
          <a:p>
            <a:pPr>
              <a:defRPr/>
            </a:pPr>
            <a:r>
              <a:rPr lang="pl-PL"/>
              <a:t>POMPKA</a:t>
            </a:r>
            <a:r>
              <a:rPr lang="pl-PL" baseline="0"/>
              <a:t> KREMOWA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Sheet1!$A$8:$A$13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Sheet1!$F$8:$F$13</c:f>
              <c:numCache>
                <c:formatCode>0.0000</c:formatCode>
                <c:ptCount val="6"/>
                <c:pt idx="0">
                  <c:v>0.1591984879781039</c:v>
                </c:pt>
                <c:pt idx="1">
                  <c:v>0.18146390261115178</c:v>
                </c:pt>
                <c:pt idx="2">
                  <c:v>0.10248636587451859</c:v>
                </c:pt>
                <c:pt idx="3">
                  <c:v>0.11886608765552489</c:v>
                </c:pt>
                <c:pt idx="4">
                  <c:v>8.24707477317764E-2</c:v>
                </c:pt>
                <c:pt idx="5">
                  <c:v>0.1063179579041645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8-4898-9624-06F4C601C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568248"/>
        <c:axId val="473568968"/>
      </c:scatterChart>
      <c:valAx>
        <c:axId val="473568248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68968"/>
        <c:crosses val="autoZero"/>
        <c:crossBetween val="midCat"/>
        <c:majorUnit val="1"/>
      </c:valAx>
      <c:valAx>
        <c:axId val="47356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</a:t>
                </a:r>
                <a:r>
                  <a:rPr lang="pl-PL" baseline="0"/>
                  <a:t> [%]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568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</a:t>
            </a:r>
            <a:r>
              <a:rPr lang="pl-PL" baseline="0"/>
              <a:t> PROCENTOWY</a:t>
            </a:r>
          </a:p>
          <a:p>
            <a:pPr>
              <a:defRPr/>
            </a:pPr>
            <a:r>
              <a:rPr lang="pl-PL" baseline="0"/>
              <a:t>POMPKA BORDOWA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Sheet1!$A$40:$A$45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Sheet1!$F$40:$F$45</c:f>
              <c:numCache>
                <c:formatCode>General</c:formatCode>
                <c:ptCount val="6"/>
                <c:pt idx="0">
                  <c:v>0.20263044757817369</c:v>
                </c:pt>
                <c:pt idx="1">
                  <c:v>0.12127589701508062</c:v>
                </c:pt>
                <c:pt idx="2">
                  <c:v>4.3983320987967249E-2</c:v>
                </c:pt>
                <c:pt idx="3">
                  <c:v>7.6728858551383422E-2</c:v>
                </c:pt>
                <c:pt idx="4">
                  <c:v>7.1469398340248194E-2</c:v>
                </c:pt>
                <c:pt idx="5">
                  <c:v>5.6223760683760712E-2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F-4A58-8BA8-0389177C2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801776"/>
        <c:axId val="789802136"/>
      </c:scatterChart>
      <c:valAx>
        <c:axId val="789801776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 [ml]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02136"/>
        <c:crosses val="autoZero"/>
        <c:crossBetween val="midCat"/>
        <c:majorUnit val="1"/>
      </c:valAx>
      <c:valAx>
        <c:axId val="78980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0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</a:t>
            </a:r>
            <a:r>
              <a:rPr lang="pl-PL" baseline="0"/>
              <a:t> PROCENTOWY</a:t>
            </a:r>
          </a:p>
          <a:p>
            <a:pPr>
              <a:defRPr/>
            </a:pPr>
            <a:r>
              <a:rPr lang="pl-PL" baseline="0"/>
              <a:t>POMPKA NIEBIESKA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Sheet1!$A$71:$A$76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xVal>
          <c:yVal>
            <c:numRef>
              <c:f>Sheet1!$F$71:$F$76</c:f>
              <c:numCache>
                <c:formatCode>General</c:formatCode>
                <c:ptCount val="6"/>
                <c:pt idx="0">
                  <c:v>0.19909227531820112</c:v>
                </c:pt>
                <c:pt idx="1">
                  <c:v>0.13347529252092363</c:v>
                </c:pt>
                <c:pt idx="2">
                  <c:v>5.4027444754563982E-2</c:v>
                </c:pt>
                <c:pt idx="3">
                  <c:v>5.728191689788651E-2</c:v>
                </c:pt>
                <c:pt idx="4">
                  <c:v>6.1645983894279777E-2</c:v>
                </c:pt>
                <c:pt idx="5">
                  <c:v>4.8243426632738555E-2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E0-468D-9867-EA2F2F80C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707632"/>
        <c:axId val="790709072"/>
      </c:scatterChart>
      <c:valAx>
        <c:axId val="790707632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POJEMNOŚĆ</a:t>
                </a:r>
                <a:r>
                  <a:rPr lang="pl-PL" baseline="0"/>
                  <a:t> [ml]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09072"/>
        <c:crosses val="autoZero"/>
        <c:crossBetween val="midCat"/>
        <c:majorUnit val="1"/>
      </c:valAx>
      <c:valAx>
        <c:axId val="7907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BŁĄD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70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14286</xdr:rowOff>
    </xdr:from>
    <xdr:to>
      <xdr:col>8</xdr:col>
      <xdr:colOff>0</xdr:colOff>
      <xdr:row>36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FEEAA3B-0ADB-B3DB-22C3-D9255D944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47</xdr:row>
      <xdr:rowOff>23812</xdr:rowOff>
    </xdr:from>
    <xdr:to>
      <xdr:col>7</xdr:col>
      <xdr:colOff>1085849</xdr:colOff>
      <xdr:row>68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8D4F093-6BBF-87C1-2F12-22C2E5CD6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78</xdr:row>
      <xdr:rowOff>14287</xdr:rowOff>
    </xdr:from>
    <xdr:to>
      <xdr:col>7</xdr:col>
      <xdr:colOff>1066800</xdr:colOff>
      <xdr:row>99</xdr:row>
      <xdr:rowOff>9525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458CC6D-A556-8A7C-AC99-402E23369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85FC-28E8-4A5D-8593-DA86BE4229CD}">
  <dimension ref="A1:K76"/>
  <sheetViews>
    <sheetView tabSelected="1" zoomScaleNormal="100" workbookViewId="0">
      <selection activeCell="I18" sqref="I18"/>
    </sheetView>
  </sheetViews>
  <sheetFormatPr defaultRowHeight="15"/>
  <cols>
    <col min="1" max="1" width="11.7109375" customWidth="1"/>
    <col min="2" max="2" width="11.42578125" customWidth="1"/>
    <col min="3" max="3" width="9.7109375" customWidth="1"/>
    <col min="4" max="4" width="12.5703125" customWidth="1"/>
    <col min="5" max="5" width="12.42578125" customWidth="1"/>
    <col min="6" max="6" width="12.7109375" customWidth="1"/>
    <col min="7" max="7" width="18.7109375" customWidth="1"/>
    <col min="8" max="8" width="16.28515625" customWidth="1"/>
    <col min="9" max="9" width="15.140625" customWidth="1"/>
  </cols>
  <sheetData>
    <row r="1" spans="1:11">
      <c r="A1" t="s">
        <v>0</v>
      </c>
      <c r="B1" t="s">
        <v>1</v>
      </c>
      <c r="I1" s="2"/>
      <c r="K1">
        <f>SUM(G2:G4)/3</f>
        <v>0</v>
      </c>
    </row>
    <row r="2" spans="1:11">
      <c r="A2" s="2">
        <v>20.145399999999999</v>
      </c>
      <c r="B2" s="1" t="s">
        <v>2</v>
      </c>
      <c r="C2" s="2"/>
      <c r="E2" s="2"/>
      <c r="F2" s="2"/>
    </row>
    <row r="3" spans="1:11">
      <c r="A3" s="2">
        <v>51.176099999999998</v>
      </c>
      <c r="B3" t="s">
        <v>3</v>
      </c>
      <c r="C3" s="2"/>
      <c r="E3" s="2"/>
      <c r="F3" s="2"/>
    </row>
    <row r="4" spans="1:11">
      <c r="A4" s="2">
        <v>28.649799999999999</v>
      </c>
      <c r="B4" t="s">
        <v>4</v>
      </c>
      <c r="C4" s="2"/>
      <c r="E4" s="2"/>
      <c r="F4" s="2"/>
    </row>
    <row r="7" spans="1:11">
      <c r="A7" s="7" t="s">
        <v>5</v>
      </c>
      <c r="B7" s="7"/>
      <c r="C7" s="7" t="s">
        <v>6</v>
      </c>
      <c r="D7" s="7"/>
      <c r="E7" s="5" t="s">
        <v>7</v>
      </c>
      <c r="F7" s="5" t="s">
        <v>8</v>
      </c>
      <c r="G7" s="5" t="s">
        <v>9</v>
      </c>
      <c r="H7" s="6" t="s">
        <v>10</v>
      </c>
    </row>
    <row r="8" spans="1:11">
      <c r="A8">
        <v>10</v>
      </c>
      <c r="B8">
        <v>9.9846000000000004</v>
      </c>
      <c r="C8">
        <v>10</v>
      </c>
      <c r="D8" s="2">
        <v>9.8278999999999996</v>
      </c>
      <c r="E8" s="2">
        <f>B8-D8</f>
        <v>0.15670000000000073</v>
      </c>
      <c r="F8" s="3">
        <f>B8*E8/D8</f>
        <v>0.1591984879781039</v>
      </c>
      <c r="G8" s="4" t="s">
        <v>11</v>
      </c>
      <c r="H8" s="3">
        <f>AVERAGE(F8:F13)</f>
        <v>0.12513392495920669</v>
      </c>
    </row>
    <row r="9" spans="1:11">
      <c r="A9">
        <v>5</v>
      </c>
      <c r="B9" s="2">
        <v>4.9928999999999997</v>
      </c>
      <c r="C9">
        <v>5</v>
      </c>
      <c r="D9" s="2">
        <f>55.9939-A3</f>
        <v>4.8177999999999983</v>
      </c>
      <c r="E9" s="2">
        <f>B9-D9</f>
        <v>0.17510000000000137</v>
      </c>
      <c r="F9" s="3">
        <f t="shared" ref="F9:F13" si="0">B9*E9/D9</f>
        <v>0.18146390261115178</v>
      </c>
      <c r="G9" s="4" t="s">
        <v>12</v>
      </c>
    </row>
    <row r="10" spans="1:11">
      <c r="A10">
        <v>4</v>
      </c>
      <c r="B10">
        <v>3.9586000000000001</v>
      </c>
      <c r="C10">
        <v>4</v>
      </c>
      <c r="D10" s="2">
        <f>55.0348-A3</f>
        <v>3.8586999999999989</v>
      </c>
      <c r="E10" s="2">
        <f t="shared" ref="E10:E13" si="1">B10-D10</f>
        <v>9.990000000000121E-2</v>
      </c>
      <c r="F10" s="3">
        <f t="shared" si="0"/>
        <v>0.10248636587451859</v>
      </c>
      <c r="G10" s="4" t="s">
        <v>12</v>
      </c>
    </row>
    <row r="11" spans="1:11">
      <c r="A11">
        <v>3</v>
      </c>
      <c r="B11">
        <v>2.9754999999999998</v>
      </c>
      <c r="C11">
        <v>3</v>
      </c>
      <c r="D11" s="2">
        <f>54.0373-A3</f>
        <v>2.8612000000000037</v>
      </c>
      <c r="E11" s="2">
        <f t="shared" si="1"/>
        <v>0.11429999999999607</v>
      </c>
      <c r="F11" s="3">
        <f t="shared" si="0"/>
        <v>0.11886608765552489</v>
      </c>
      <c r="G11" s="4" t="s">
        <v>12</v>
      </c>
    </row>
    <row r="12" spans="1:11">
      <c r="A12">
        <v>2</v>
      </c>
      <c r="B12">
        <v>1.9970000000000001</v>
      </c>
      <c r="C12">
        <v>2</v>
      </c>
      <c r="D12" s="2">
        <f>53.0939-A3</f>
        <v>1.9177999999999997</v>
      </c>
      <c r="E12" s="2">
        <f t="shared" si="1"/>
        <v>7.9200000000000381E-2</v>
      </c>
      <c r="F12" s="3">
        <f t="shared" si="0"/>
        <v>8.24707477317764E-2</v>
      </c>
      <c r="G12" s="4" t="s">
        <v>12</v>
      </c>
    </row>
    <row r="13" spans="1:11">
      <c r="A13">
        <v>1</v>
      </c>
      <c r="B13">
        <v>0.98919999999999997</v>
      </c>
      <c r="C13">
        <v>1</v>
      </c>
      <c r="D13" s="2">
        <f>52.0693-A3</f>
        <v>0.89320000000000022</v>
      </c>
      <c r="E13" s="2">
        <f t="shared" si="1"/>
        <v>9.5999999999999752E-2</v>
      </c>
      <c r="F13" s="3">
        <f t="shared" si="0"/>
        <v>0.1063179579041645</v>
      </c>
      <c r="G13" s="4" t="s">
        <v>12</v>
      </c>
    </row>
    <row r="32" spans="1:8">
      <c r="A32" s="7"/>
      <c r="B32" s="7"/>
      <c r="C32" s="7"/>
      <c r="D32" s="7"/>
      <c r="E32" s="5"/>
      <c r="F32" s="5"/>
      <c r="G32" s="5"/>
      <c r="H32" s="6"/>
    </row>
    <row r="33" spans="1:8">
      <c r="D33" s="3"/>
      <c r="E33" s="3"/>
      <c r="G33" s="4"/>
    </row>
    <row r="34" spans="1:8">
      <c r="B34" s="2"/>
      <c r="D34" s="2"/>
      <c r="E34" s="3"/>
      <c r="G34" s="4"/>
    </row>
    <row r="35" spans="1:8">
      <c r="D35" s="2"/>
      <c r="E35" s="3"/>
      <c r="G35" s="4"/>
    </row>
    <row r="36" spans="1:8">
      <c r="D36" s="2"/>
      <c r="E36" s="3"/>
      <c r="G36" s="4"/>
    </row>
    <row r="37" spans="1:8">
      <c r="D37" s="2"/>
      <c r="E37" s="3"/>
      <c r="G37" s="4"/>
    </row>
    <row r="38" spans="1:8">
      <c r="D38" s="2"/>
      <c r="E38" s="3"/>
      <c r="G38" s="4"/>
    </row>
    <row r="39" spans="1:8">
      <c r="A39" s="7" t="s">
        <v>5</v>
      </c>
      <c r="B39" s="7"/>
      <c r="C39" s="7" t="s">
        <v>13</v>
      </c>
      <c r="D39" s="7"/>
      <c r="E39" s="5" t="s">
        <v>7</v>
      </c>
      <c r="F39" s="5" t="s">
        <v>8</v>
      </c>
      <c r="G39" s="5" t="s">
        <v>9</v>
      </c>
      <c r="H39" s="6" t="s">
        <v>10</v>
      </c>
    </row>
    <row r="40" spans="1:8">
      <c r="A40">
        <v>10</v>
      </c>
      <c r="B40">
        <v>9.9846000000000004</v>
      </c>
      <c r="C40">
        <v>10</v>
      </c>
      <c r="D40" s="3">
        <v>9.7859999999999996</v>
      </c>
      <c r="E40" s="3">
        <f>B40-D40</f>
        <v>0.19860000000000078</v>
      </c>
      <c r="F40">
        <f>B40*E40/D40</f>
        <v>0.20263044757817369</v>
      </c>
      <c r="G40" s="4" t="s">
        <v>11</v>
      </c>
      <c r="H40">
        <f>AVERAGE(F40:F45)</f>
        <v>9.5385280526102303E-2</v>
      </c>
    </row>
    <row r="41" spans="1:8">
      <c r="A41">
        <v>5</v>
      </c>
      <c r="B41" s="2">
        <v>4.9928999999999997</v>
      </c>
      <c r="C41">
        <v>5</v>
      </c>
      <c r="D41" s="2">
        <f>33.5243-A4</f>
        <v>4.8744999999999976</v>
      </c>
      <c r="E41" s="3">
        <f>B41-D41</f>
        <v>0.11840000000000206</v>
      </c>
      <c r="F41">
        <f>B41*E41/D41</f>
        <v>0.12127589701508062</v>
      </c>
      <c r="G41" s="4" t="s">
        <v>12</v>
      </c>
    </row>
    <row r="42" spans="1:8">
      <c r="A42">
        <v>4</v>
      </c>
      <c r="B42">
        <v>3.9586000000000001</v>
      </c>
      <c r="C42">
        <v>4</v>
      </c>
      <c r="D42" s="2">
        <f>32.5649-A$4</f>
        <v>3.9151000000000025</v>
      </c>
      <c r="E42" s="3">
        <f t="shared" ref="E42:E45" si="2">B42-D42</f>
        <v>4.3499999999997652E-2</v>
      </c>
      <c r="F42">
        <f t="shared" ref="F42:F45" si="3">B42*E42/D42</f>
        <v>4.3983320987967249E-2</v>
      </c>
      <c r="G42" s="4" t="s">
        <v>12</v>
      </c>
    </row>
    <row r="43" spans="1:8">
      <c r="A43">
        <v>3</v>
      </c>
      <c r="B43">
        <v>2.9754999999999998</v>
      </c>
      <c r="C43">
        <v>3</v>
      </c>
      <c r="D43" s="2">
        <f>31.5505-A4</f>
        <v>2.9007000000000005</v>
      </c>
      <c r="E43" s="3">
        <f t="shared" si="2"/>
        <v>7.4799999999999311E-2</v>
      </c>
      <c r="F43">
        <f t="shared" si="3"/>
        <v>7.6728858551383422E-2</v>
      </c>
      <c r="G43" s="4" t="s">
        <v>12</v>
      </c>
    </row>
    <row r="44" spans="1:8">
      <c r="A44">
        <v>2</v>
      </c>
      <c r="B44">
        <v>1.9970000000000001</v>
      </c>
      <c r="C44">
        <v>2</v>
      </c>
      <c r="D44" s="2">
        <f>30.5778-A4</f>
        <v>1.9280000000000008</v>
      </c>
      <c r="E44" s="3">
        <f t="shared" si="2"/>
        <v>6.8999999999999284E-2</v>
      </c>
      <c r="F44">
        <f t="shared" si="3"/>
        <v>7.1469398340248194E-2</v>
      </c>
      <c r="G44" s="4" t="s">
        <v>12</v>
      </c>
    </row>
    <row r="45" spans="1:8">
      <c r="A45">
        <v>1</v>
      </c>
      <c r="B45">
        <v>0.98919999999999997</v>
      </c>
      <c r="C45">
        <v>1</v>
      </c>
      <c r="D45" s="2">
        <f>29.5858-A4</f>
        <v>0.93599999999999994</v>
      </c>
      <c r="E45" s="3">
        <f t="shared" si="2"/>
        <v>5.3200000000000025E-2</v>
      </c>
      <c r="F45">
        <f t="shared" si="3"/>
        <v>5.6223760683760712E-2</v>
      </c>
      <c r="G45" s="4" t="s">
        <v>12</v>
      </c>
    </row>
    <row r="56" spans="1:8">
      <c r="A56" s="7"/>
      <c r="B56" s="7"/>
      <c r="C56" s="7"/>
      <c r="D56" s="7"/>
      <c r="E56" s="5"/>
      <c r="F56" s="5"/>
      <c r="G56" s="5"/>
      <c r="H56" s="6"/>
    </row>
    <row r="57" spans="1:8">
      <c r="G57" s="4"/>
    </row>
    <row r="58" spans="1:8">
      <c r="B58" s="2"/>
      <c r="D58" s="2"/>
      <c r="E58" s="3"/>
      <c r="G58" s="4"/>
    </row>
    <row r="59" spans="1:8">
      <c r="D59" s="2"/>
      <c r="G59" s="4"/>
    </row>
    <row r="60" spans="1:8">
      <c r="D60" s="2"/>
      <c r="G60" s="4"/>
    </row>
    <row r="61" spans="1:8">
      <c r="D61" s="2"/>
      <c r="G61" s="4"/>
    </row>
    <row r="62" spans="1:8">
      <c r="D62" s="2"/>
      <c r="G62" s="4"/>
    </row>
    <row r="70" spans="1:8">
      <c r="A70" s="7" t="s">
        <v>5</v>
      </c>
      <c r="B70" s="7"/>
      <c r="C70" s="7" t="s">
        <v>14</v>
      </c>
      <c r="D70" s="7"/>
      <c r="E70" s="5" t="s">
        <v>7</v>
      </c>
      <c r="F70" s="5" t="s">
        <v>8</v>
      </c>
      <c r="G70" s="5" t="s">
        <v>9</v>
      </c>
      <c r="H70" s="5" t="s">
        <v>10</v>
      </c>
    </row>
    <row r="71" spans="1:8">
      <c r="A71">
        <v>10</v>
      </c>
      <c r="B71">
        <v>9.9846000000000004</v>
      </c>
      <c r="C71">
        <v>10</v>
      </c>
      <c r="D71">
        <v>9.7894000000000005</v>
      </c>
      <c r="E71">
        <v>0.19519999999999982</v>
      </c>
      <c r="F71">
        <v>0.19909227531820112</v>
      </c>
      <c r="G71" t="s">
        <v>11</v>
      </c>
      <c r="H71">
        <v>9.2294390003098928E-2</v>
      </c>
    </row>
    <row r="72" spans="1:8">
      <c r="A72">
        <v>5</v>
      </c>
      <c r="B72" s="2">
        <v>4.9928999999999997</v>
      </c>
      <c r="C72">
        <v>5</v>
      </c>
      <c r="D72" s="2">
        <v>4.8628999999999998</v>
      </c>
      <c r="E72" s="3">
        <v>0.12999999999999989</v>
      </c>
      <c r="F72">
        <v>0.13347529252092363</v>
      </c>
      <c r="G72" t="s">
        <v>12</v>
      </c>
    </row>
    <row r="73" spans="1:8">
      <c r="A73">
        <v>4</v>
      </c>
      <c r="B73">
        <v>3.9586000000000001</v>
      </c>
      <c r="C73">
        <v>4</v>
      </c>
      <c r="D73" s="2">
        <v>3.9053000000000004</v>
      </c>
      <c r="E73">
        <v>5.3299999999999681E-2</v>
      </c>
      <c r="F73">
        <v>5.4027444754563982E-2</v>
      </c>
      <c r="G73" t="s">
        <v>12</v>
      </c>
    </row>
    <row r="74" spans="1:8">
      <c r="A74">
        <v>3</v>
      </c>
      <c r="B74">
        <v>2.9754999999999998</v>
      </c>
      <c r="C74">
        <v>3</v>
      </c>
      <c r="D74" s="2">
        <v>2.9192999999999998</v>
      </c>
      <c r="E74">
        <v>5.6200000000000028E-2</v>
      </c>
      <c r="F74">
        <v>5.728191689788651E-2</v>
      </c>
      <c r="G74" t="s">
        <v>12</v>
      </c>
    </row>
    <row r="75" spans="1:8">
      <c r="A75">
        <v>2</v>
      </c>
      <c r="B75">
        <v>1.9970000000000001</v>
      </c>
      <c r="C75">
        <v>2</v>
      </c>
      <c r="D75" s="2">
        <v>1.9372000000000007</v>
      </c>
      <c r="E75">
        <v>5.9799999999999409E-2</v>
      </c>
      <c r="F75">
        <v>6.1645983894279777E-2</v>
      </c>
      <c r="G75" t="s">
        <v>12</v>
      </c>
    </row>
    <row r="76" spans="1:8">
      <c r="A76">
        <v>1</v>
      </c>
      <c r="B76">
        <v>0.98919999999999997</v>
      </c>
      <c r="C76">
        <v>1</v>
      </c>
      <c r="D76" s="2">
        <v>0.94320000000000093</v>
      </c>
      <c r="E76">
        <v>4.5999999999999042E-2</v>
      </c>
      <c r="F76">
        <v>4.8243426632738555E-2</v>
      </c>
      <c r="G76" t="s">
        <v>12</v>
      </c>
    </row>
  </sheetData>
  <mergeCells count="10">
    <mergeCell ref="A70:B70"/>
    <mergeCell ref="C70:D70"/>
    <mergeCell ref="C7:D7"/>
    <mergeCell ref="A7:B7"/>
    <mergeCell ref="A32:B32"/>
    <mergeCell ref="A56:B56"/>
    <mergeCell ref="C32:D32"/>
    <mergeCell ref="C56:D56"/>
    <mergeCell ref="A39:B39"/>
    <mergeCell ref="C39:D39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f4f8b-8f5c-452a-90cb-83a4278621a7">
      <Terms xmlns="http://schemas.microsoft.com/office/infopath/2007/PartnerControls"/>
    </lcf76f155ced4ddcb4097134ff3c332f>
    <TaxCatchAll xmlns="1021aa1f-fa31-47a3-b9bb-eaa16384bc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3976FBC169D86478B3C5E3492CA8073" ma:contentTypeVersion="12" ma:contentTypeDescription="Utwórz nowy dokument." ma:contentTypeScope="" ma:versionID="42624dc466a9101fa713d53b886c8467">
  <xsd:schema xmlns:xsd="http://www.w3.org/2001/XMLSchema" xmlns:xs="http://www.w3.org/2001/XMLSchema" xmlns:p="http://schemas.microsoft.com/office/2006/metadata/properties" xmlns:ns2="e0af4f8b-8f5c-452a-90cb-83a4278621a7" xmlns:ns3="1021aa1f-fa31-47a3-b9bb-eaa16384bc0c" targetNamespace="http://schemas.microsoft.com/office/2006/metadata/properties" ma:root="true" ma:fieldsID="cc0d6ed68dcd971d88fe1cecdf2e4429" ns2:_="" ns3:_="">
    <xsd:import namespace="e0af4f8b-8f5c-452a-90cb-83a4278621a7"/>
    <xsd:import namespace="1021aa1f-fa31-47a3-b9bb-eaa16384b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f4f8b-8f5c-452a-90cb-83a4278621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21aa1f-fa31-47a3-b9bb-eaa16384b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fc20964-51ef-4eeb-bda2-539116241f4d}" ma:internalName="TaxCatchAll" ma:showField="CatchAllData" ma:web="1021aa1f-fa31-47a3-b9bb-eaa16384b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9F5686-95AC-436D-8EBA-42E36CA94226}"/>
</file>

<file path=customXml/itemProps2.xml><?xml version="1.0" encoding="utf-8"?>
<ds:datastoreItem xmlns:ds="http://schemas.openxmlformats.org/officeDocument/2006/customXml" ds:itemID="{B59F8C18-9BD0-45A2-A4B8-D8B415116F62}"/>
</file>

<file path=customXml/itemProps3.xml><?xml version="1.0" encoding="utf-8"?>
<ds:datastoreItem xmlns:ds="http://schemas.openxmlformats.org/officeDocument/2006/customXml" ds:itemID="{08548C53-D47B-4D9D-8A55-31361225AA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Krzysztof Machnik</dc:creator>
  <cp:keywords/>
  <dc:description/>
  <cp:lastModifiedBy>Tomasz Machnik</cp:lastModifiedBy>
  <cp:revision/>
  <dcterms:created xsi:type="dcterms:W3CDTF">2024-08-07T10:23:55Z</dcterms:created>
  <dcterms:modified xsi:type="dcterms:W3CDTF">2024-08-12T17:14:34Z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0x01010063976FBC169D86478B3C5E3492CA8073</vt:lpwstr>
  </property>
  <property fmtid="{D5CDD505-2E9C-101B-9397-08002B2CF9AE}" pid="3" name="MediaServiceImageTags">
    <vt:lpwstr/>
  </property>
</Properties>
</file>