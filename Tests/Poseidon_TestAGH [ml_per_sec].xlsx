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D:\Pobrane\"/>
    </mc:Choice>
  </mc:AlternateContent>
  <xr:revisionPtr revIDLastSave="9" documentId="13_ncr:1_{E83A843D-323D-4835-8C8E-85CE40936859}" xr6:coauthVersionLast="47" xr6:coauthVersionMax="47" xr10:uidLastSave="{81BFE172-17A3-44AE-915A-3536F0760822}"/>
  <bookViews>
    <workbookView xWindow="-120" yWindow="540" windowWidth="29040" windowHeight="15180" xr2:uid="{ECA291BA-5799-4EC1-BAD2-FB367F33611B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C4" i="1"/>
  <c r="C5" i="1"/>
  <c r="E5" i="1"/>
  <c r="F5" i="1"/>
  <c r="C6" i="1"/>
  <c r="E6" i="1"/>
  <c r="F6" i="1"/>
  <c r="C7" i="1"/>
  <c r="E7" i="1"/>
  <c r="F7" i="1"/>
  <c r="E3" i="1"/>
  <c r="F3" i="1" s="1"/>
  <c r="C3" i="1"/>
  <c r="H65" i="1" a="1"/>
  <c r="H65" i="1" s="1"/>
  <c r="H34" i="1" a="1"/>
  <c r="H34" i="1" s="1"/>
  <c r="H2" i="1" a="1"/>
  <c r="H2" i="1" s="1"/>
  <c r="E2" i="1"/>
  <c r="F2" i="1" s="1"/>
  <c r="C2" i="1"/>
  <c r="F66" i="1"/>
  <c r="F67" i="1"/>
  <c r="F68" i="1"/>
  <c r="F69" i="1"/>
  <c r="F70" i="1"/>
  <c r="E66" i="1"/>
  <c r="E67" i="1"/>
  <c r="E68" i="1"/>
  <c r="E69" i="1"/>
  <c r="E70" i="1"/>
  <c r="E65" i="1"/>
  <c r="F65" i="1" s="1"/>
  <c r="C66" i="1"/>
  <c r="C67" i="1"/>
  <c r="C68" i="1"/>
  <c r="C69" i="1"/>
  <c r="C70" i="1"/>
  <c r="C65" i="1"/>
  <c r="D36" i="1"/>
  <c r="E36" i="1" s="1"/>
  <c r="F36" i="1" s="1"/>
  <c r="E34" i="1"/>
  <c r="F34" i="1" s="1"/>
  <c r="C34" i="1"/>
  <c r="E37" i="1"/>
  <c r="F37" i="1" s="1"/>
  <c r="E38" i="1"/>
  <c r="F38" i="1" s="1"/>
  <c r="E39" i="1"/>
  <c r="F39" i="1" s="1"/>
  <c r="C36" i="1"/>
  <c r="C37" i="1"/>
  <c r="C38" i="1"/>
  <c r="C39" i="1"/>
  <c r="C35" i="1"/>
  <c r="F35" i="1"/>
  <c r="E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<sst xmlns="http://schemas.openxmlformats.org/spreadsheetml/2006/main" count="36" uniqueCount="10">
  <si>
    <t>MIKROPIPETA [ml]</t>
  </si>
  <si>
    <t>POMPKA KREMOWA [ml]</t>
  </si>
  <si>
    <t>RÓŻNICA</t>
  </si>
  <si>
    <t>BŁĄD [%]</t>
  </si>
  <si>
    <t>RODZAJ PIPETY</t>
  </si>
  <si>
    <t>ŚREDNI BŁĄD [%]</t>
  </si>
  <si>
    <t>PIPETA MAX 10ml</t>
  </si>
  <si>
    <t>PIPETA MAX 5ml</t>
  </si>
  <si>
    <t>POMPKA BORDOWA [ml]</t>
  </si>
  <si>
    <t>POMPKA NIEBIESKA [ml]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</si>
</sst>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BLAD PROCENTOWY</a:t>
            </a:r>
            <a:r>
              <a:rPr lang="pl-PL"/>
              <a:t> </a:t>
            </a:r>
          </a:p>
          <a:p>
            <a:pPr>
              <a:defRPr/>
            </a:pPr>
            <a:r>
              <a:rPr lang="pl-PL"/>
              <a:t>POMPKA KREMOWA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Arkusz1!$F$1</c:f>
              <c:strCache>
                <c:ptCount val="1"/>
                <c:pt idx="0">
                  <c:v>BŁĄD [%]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Arkusz1!$A$2:$A$7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Arkusz1!$F$2:$F$7</c:f>
              <c:numCache>
                <c:formatCode>General</c:formatCode>
                <c:ptCount val="6"/>
                <c:pt idx="0">
                  <c:v>0.1752164735562497</c:v>
                </c:pt>
                <c:pt idx="1">
                  <c:v>-7.8874023536063438E-3</c:v>
                </c:pt>
                <c:pt idx="2">
                  <c:v>4.3672417982988744E-2</c:v>
                </c:pt>
                <c:pt idx="3">
                  <c:v>2.4499847700274351E-2</c:v>
                </c:pt>
                <c:pt idx="4">
                  <c:v>7.0249059672663379E-3</c:v>
                </c:pt>
                <c:pt idx="5">
                  <c:v>1.5437329224447859E-2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CA-419E-B72C-4F662DD2E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367984"/>
        <c:axId val="572368704"/>
      </c:scatterChart>
      <c:valAx>
        <c:axId val="57236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</a:t>
                </a:r>
                <a:r>
                  <a:rPr lang="pl-PL" baseline="0"/>
                  <a:t> [ml]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68704"/>
        <c:crosses val="autoZero"/>
        <c:crossBetween val="midCat"/>
        <c:majorUnit val="1"/>
      </c:valAx>
      <c:valAx>
        <c:axId val="5723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BŁĄD</a:t>
                </a:r>
                <a:r>
                  <a:rPr lang="pl-PL" baseline="0"/>
                  <a:t> 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6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BŁĄD</a:t>
            </a:r>
            <a:r>
              <a:rPr lang="pl-PL" baseline="0"/>
              <a:t> PROCENTOWY</a:t>
            </a:r>
          </a:p>
          <a:p>
            <a:pPr>
              <a:defRPr/>
            </a:pPr>
            <a:r>
              <a:rPr lang="pl-PL" baseline="0"/>
              <a:t>POMPKA BORDOWA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Arkusz1!$A$34:$A$39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Arkusz1!$F$34:$F$39</c:f>
              <c:numCache>
                <c:formatCode>General</c:formatCode>
                <c:ptCount val="6"/>
                <c:pt idx="0">
                  <c:v>8.5324966573477587E-2</c:v>
                </c:pt>
                <c:pt idx="1">
                  <c:v>7.9862070233498575E-2</c:v>
                </c:pt>
                <c:pt idx="2">
                  <c:v>7.6862683955953623E-2</c:v>
                </c:pt>
                <c:pt idx="3">
                  <c:v>7.6615713402911276E-2</c:v>
                </c:pt>
                <c:pt idx="4">
                  <c:v>6.5152058959954823E-2</c:v>
                </c:pt>
                <c:pt idx="5">
                  <c:v>3.466319444444442E-2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B-4D65-9073-D02A4B65B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587232"/>
        <c:axId val="670587592"/>
      </c:scatterChart>
      <c:valAx>
        <c:axId val="6705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87592"/>
        <c:crosses val="autoZero"/>
        <c:crossBetween val="midCat"/>
        <c:majorUnit val="1"/>
      </c:valAx>
      <c:valAx>
        <c:axId val="67058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BŁĄD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BŁĄD PROCENTOWY</a:t>
            </a:r>
          </a:p>
          <a:p>
            <a:pPr>
              <a:defRPr/>
            </a:pPr>
            <a:r>
              <a:rPr lang="pl-PL"/>
              <a:t>POMPKA NIEBIESKA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Arkusz1!$A$65:$A$70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Arkusz1!$F$65:$F$70</c:f>
              <c:numCache>
                <c:formatCode>General</c:formatCode>
                <c:ptCount val="6"/>
                <c:pt idx="0">
                  <c:v>8.970520111663427E-2</c:v>
                </c:pt>
                <c:pt idx="1">
                  <c:v>6.822058739837436E-2</c:v>
                </c:pt>
                <c:pt idx="2">
                  <c:v>3.6636462988024178E-2</c:v>
                </c:pt>
                <c:pt idx="3">
                  <c:v>4.8372795797946358E-2</c:v>
                </c:pt>
                <c:pt idx="4">
                  <c:v>4.5303215417646696E-2</c:v>
                </c:pt>
                <c:pt idx="5">
                  <c:v>3.3110379079667237E-3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B-49E1-82E4-8CF4E35DD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439376"/>
        <c:axId val="569438296"/>
      </c:scatterChart>
      <c:valAx>
        <c:axId val="56943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38296"/>
        <c:crosses val="autoZero"/>
        <c:crossBetween val="midCat"/>
        <c:majorUnit val="1"/>
      </c:valAx>
      <c:valAx>
        <c:axId val="56943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BŁĄD</a:t>
                </a:r>
                <a:r>
                  <a:rPr lang="pl-PL" baseline="0"/>
                  <a:t>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3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4A8E1A4-DD7A-00E6-BAD9-824D32D42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40</xdr:row>
      <xdr:rowOff>185737</xdr:rowOff>
    </xdr:from>
    <xdr:to>
      <xdr:col>7</xdr:col>
      <xdr:colOff>0</xdr:colOff>
      <xdr:row>61</xdr:row>
      <xdr:rowOff>27215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137D341-D872-F27C-C425-F84CCFA1E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71</xdr:row>
      <xdr:rowOff>14286</xdr:rowOff>
    </xdr:from>
    <xdr:to>
      <xdr:col>6</xdr:col>
      <xdr:colOff>1066799</xdr:colOff>
      <xdr:row>90</xdr:row>
      <xdr:rowOff>190499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EE95FD0D-9F93-F0B2-2529-B86A25EF3CD2}"/>
            </a:ext>
            <a:ext uri="{147F2762-F138-4A5C-976F-8EAC2B608ADB}">
              <a16:predDERef xmlns:a16="http://schemas.microsoft.com/office/drawing/2014/main" pred="{7137D341-D872-F27C-C425-F84CCFA1E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B8A7-A91F-479F-A6A1-173AA77DE264}">
  <dimension ref="A1:H70"/>
  <sheetViews>
    <sheetView tabSelected="1" zoomScaleNormal="100" workbookViewId="0">
      <selection activeCell="I8" sqref="I8"/>
    </sheetView>
  </sheetViews>
  <sheetFormatPr defaultRowHeight="15"/>
  <cols>
    <col min="2" max="2" width="19.5703125" customWidth="1"/>
    <col min="3" max="3" width="16.42578125" customWidth="1"/>
    <col min="4" max="4" width="20.85546875" customWidth="1"/>
    <col min="5" max="5" width="17" customWidth="1"/>
    <col min="6" max="6" width="19" customWidth="1"/>
    <col min="7" max="7" width="16" customWidth="1"/>
    <col min="8" max="8" width="16.5703125" customWidth="1"/>
  </cols>
  <sheetData>
    <row r="1" spans="1:8">
      <c r="A1" s="3" t="s">
        <v>0</v>
      </c>
      <c r="B1" s="3"/>
      <c r="C1" s="3" t="s">
        <v>1</v>
      </c>
      <c r="D1" s="3"/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>
        <v>10</v>
      </c>
      <c r="B2">
        <v>10.0025</v>
      </c>
      <c r="C2">
        <f t="shared" ref="C2:C4" si="0">A2</f>
        <v>10</v>
      </c>
      <c r="D2">
        <v>9.8302999999999994</v>
      </c>
      <c r="E2">
        <f t="shared" ref="E2:E4" si="1">(B2-D2)</f>
        <v>0.17220000000000013</v>
      </c>
      <c r="F2">
        <f t="shared" ref="F2:F4" si="2">B2*E2/D2</f>
        <v>0.1752164735562497</v>
      </c>
      <c r="G2" t="s">
        <v>6</v>
      </c>
      <c r="H2" cm="1">
        <f t="array" ref="H2">ROUND(SUM(ABS(F2:F7))/6,4)</f>
        <v>4.5600000000000002E-2</v>
      </c>
    </row>
    <row r="3" spans="1:8">
      <c r="A3">
        <v>5</v>
      </c>
      <c r="B3">
        <v>4.9462000000000002</v>
      </c>
      <c r="C3">
        <f t="shared" si="0"/>
        <v>5</v>
      </c>
      <c r="D3">
        <v>4.9541000000000004</v>
      </c>
      <c r="E3">
        <f t="shared" si="1"/>
        <v>-7.9000000000002402E-3</v>
      </c>
      <c r="F3">
        <f t="shared" si="2"/>
        <v>-7.8874023536063438E-3</v>
      </c>
      <c r="G3" t="s">
        <v>7</v>
      </c>
    </row>
    <row r="4" spans="1:8">
      <c r="A4">
        <v>4</v>
      </c>
      <c r="B4">
        <v>3.9935999999999998</v>
      </c>
      <c r="C4">
        <f t="shared" si="0"/>
        <v>4</v>
      </c>
      <c r="D4">
        <v>3.9504000000000001</v>
      </c>
      <c r="E4">
        <f t="shared" si="1"/>
        <v>4.3199999999999683E-2</v>
      </c>
      <c r="F4">
        <f t="shared" si="2"/>
        <v>4.3672417982988744E-2</v>
      </c>
      <c r="G4" t="s">
        <v>7</v>
      </c>
    </row>
    <row r="5" spans="1:8">
      <c r="A5">
        <v>3</v>
      </c>
      <c r="B5">
        <v>2.9790000000000001</v>
      </c>
      <c r="C5">
        <f t="shared" ref="C5:C8" si="3">A5</f>
        <v>3</v>
      </c>
      <c r="D5">
        <v>2.9546999999999999</v>
      </c>
      <c r="E5">
        <f t="shared" ref="E5:E8" si="4">(B5-D5)</f>
        <v>2.430000000000021E-2</v>
      </c>
      <c r="F5">
        <f t="shared" ref="F5:F8" si="5">B5*E5/D5</f>
        <v>2.4499847700274351E-2</v>
      </c>
      <c r="G5" t="s">
        <v>7</v>
      </c>
    </row>
    <row r="6" spans="1:8">
      <c r="A6">
        <v>2</v>
      </c>
      <c r="B6">
        <v>1.9743999999999999</v>
      </c>
      <c r="C6">
        <f t="shared" si="3"/>
        <v>2</v>
      </c>
      <c r="D6">
        <v>1.9674</v>
      </c>
      <c r="E6">
        <f t="shared" si="4"/>
        <v>6.9999999999998952E-3</v>
      </c>
      <c r="F6">
        <f t="shared" si="5"/>
        <v>7.0249059672663379E-3</v>
      </c>
      <c r="G6" t="s">
        <v>7</v>
      </c>
    </row>
    <row r="7" spans="1:8">
      <c r="A7">
        <v>1</v>
      </c>
      <c r="B7">
        <v>0.98870000000000002</v>
      </c>
      <c r="C7">
        <f t="shared" si="3"/>
        <v>1</v>
      </c>
      <c r="D7">
        <v>0.97350000000000003</v>
      </c>
      <c r="E7">
        <f t="shared" si="4"/>
        <v>1.5199999999999991E-2</v>
      </c>
      <c r="F7">
        <f t="shared" si="5"/>
        <v>1.5437329224447859E-2</v>
      </c>
      <c r="G7" t="s">
        <v>7</v>
      </c>
    </row>
    <row r="10" spans="1:8">
      <c r="A10" s="4"/>
      <c r="B10" s="4"/>
    </row>
    <row r="33" spans="1:8">
      <c r="A33" s="3" t="s">
        <v>0</v>
      </c>
      <c r="B33" s="3"/>
      <c r="C33" s="3" t="s">
        <v>8</v>
      </c>
      <c r="D33" s="3"/>
      <c r="E33" s="1" t="s">
        <v>2</v>
      </c>
      <c r="F33" s="1" t="s">
        <v>3</v>
      </c>
      <c r="G33" s="1" t="s">
        <v>4</v>
      </c>
      <c r="H33" s="1" t="s">
        <v>5</v>
      </c>
    </row>
    <row r="34" spans="1:8">
      <c r="A34">
        <v>10</v>
      </c>
      <c r="B34">
        <v>9.9570000000000007</v>
      </c>
      <c r="C34">
        <f>A34</f>
        <v>10</v>
      </c>
      <c r="D34">
        <v>9.8724000000000007</v>
      </c>
      <c r="E34">
        <f>B34-D34</f>
        <v>8.4600000000000009E-2</v>
      </c>
      <c r="F34">
        <f>B34*E34/D34</f>
        <v>8.5324966573477587E-2</v>
      </c>
      <c r="G34" t="s">
        <v>6</v>
      </c>
      <c r="H34" cm="1">
        <f t="array" ref="H34">ROUND(SUM(ABS(F34:F39))/6,4)</f>
        <v>6.9699999999999998E-2</v>
      </c>
    </row>
    <row r="35" spans="1:8">
      <c r="A35">
        <v>5</v>
      </c>
      <c r="B35">
        <v>4.9737</v>
      </c>
      <c r="C35">
        <f>A35</f>
        <v>5</v>
      </c>
      <c r="D35">
        <v>4.8951000000000002</v>
      </c>
      <c r="E35">
        <f>B35-D35</f>
        <v>7.8599999999999781E-2</v>
      </c>
      <c r="F35">
        <f>B35*E35/D35</f>
        <v>7.9862070233498575E-2</v>
      </c>
      <c r="G35" t="s">
        <v>7</v>
      </c>
    </row>
    <row r="36" spans="1:8">
      <c r="A36">
        <v>4</v>
      </c>
      <c r="B36">
        <v>3.9622000000000002</v>
      </c>
      <c r="C36">
        <f t="shared" ref="C36:C39" si="6">A36</f>
        <v>4</v>
      </c>
      <c r="D36">
        <f>3.8868</f>
        <v>3.8868</v>
      </c>
      <c r="E36">
        <f t="shared" ref="E36:E39" si="7">B36-D36</f>
        <v>7.5400000000000134E-2</v>
      </c>
      <c r="F36">
        <f t="shared" ref="F36:F39" si="8">B36*E36/D36</f>
        <v>7.6862683955953623E-2</v>
      </c>
      <c r="G36" t="s">
        <v>7</v>
      </c>
    </row>
    <row r="37" spans="1:8">
      <c r="A37">
        <v>3</v>
      </c>
      <c r="B37">
        <v>2.9874999999999998</v>
      </c>
      <c r="C37">
        <f t="shared" si="6"/>
        <v>3</v>
      </c>
      <c r="D37">
        <v>2.9127999999999998</v>
      </c>
      <c r="E37">
        <f t="shared" si="7"/>
        <v>7.4699999999999989E-2</v>
      </c>
      <c r="F37">
        <f t="shared" si="8"/>
        <v>7.6615713402911276E-2</v>
      </c>
      <c r="G37" t="s">
        <v>7</v>
      </c>
    </row>
    <row r="38" spans="1:8">
      <c r="A38">
        <v>2</v>
      </c>
      <c r="B38">
        <v>2.0034000000000001</v>
      </c>
      <c r="C38">
        <f t="shared" si="6"/>
        <v>2</v>
      </c>
      <c r="D38">
        <v>1.9402999999999999</v>
      </c>
      <c r="E38">
        <f t="shared" si="7"/>
        <v>6.3100000000000156E-2</v>
      </c>
      <c r="F38">
        <f t="shared" si="8"/>
        <v>6.5152058959954823E-2</v>
      </c>
      <c r="G38" t="s">
        <v>7</v>
      </c>
    </row>
    <row r="39" spans="1:8">
      <c r="A39">
        <v>1</v>
      </c>
      <c r="B39">
        <v>0.99829999999999997</v>
      </c>
      <c r="C39">
        <f t="shared" si="6"/>
        <v>1</v>
      </c>
      <c r="D39">
        <v>0.96479999999999999</v>
      </c>
      <c r="E39">
        <f t="shared" si="7"/>
        <v>3.3499999999999974E-2</v>
      </c>
      <c r="F39">
        <f t="shared" si="8"/>
        <v>3.466319444444442E-2</v>
      </c>
      <c r="G39" t="s">
        <v>7</v>
      </c>
    </row>
    <row r="64" spans="1:8">
      <c r="A64" s="3" t="s">
        <v>0</v>
      </c>
      <c r="B64" s="3"/>
      <c r="C64" s="3" t="s">
        <v>9</v>
      </c>
      <c r="D64" s="3"/>
      <c r="E64" s="1" t="s">
        <v>2</v>
      </c>
      <c r="F64" s="1" t="s">
        <v>3</v>
      </c>
      <c r="G64" s="1" t="s">
        <v>4</v>
      </c>
      <c r="H64" s="1" t="s">
        <v>5</v>
      </c>
    </row>
    <row r="65" spans="1:8">
      <c r="A65">
        <v>10</v>
      </c>
      <c r="B65">
        <v>9.9040999999999997</v>
      </c>
      <c r="C65">
        <f>A65</f>
        <v>10</v>
      </c>
      <c r="D65">
        <v>9.8152000000000008</v>
      </c>
      <c r="E65">
        <f>B65-D65</f>
        <v>8.8899999999998869E-2</v>
      </c>
      <c r="F65">
        <f>B65*E65/D65</f>
        <v>8.970520111663427E-2</v>
      </c>
      <c r="G65" t="s">
        <v>6</v>
      </c>
      <c r="H65" cm="1">
        <f t="array" ref="H65">ROUND(SUM(ABS(F65:F70))/6,4)</f>
        <v>4.8599999999999997E-2</v>
      </c>
    </row>
    <row r="66" spans="1:8">
      <c r="A66">
        <v>5</v>
      </c>
      <c r="B66">
        <v>4.9873000000000003</v>
      </c>
      <c r="C66">
        <f t="shared" ref="C66:C70" si="9">A66</f>
        <v>5</v>
      </c>
      <c r="D66" s="2">
        <v>4.92</v>
      </c>
      <c r="E66">
        <f t="shared" ref="E66:E70" si="10">B66-D66</f>
        <v>6.730000000000036E-2</v>
      </c>
      <c r="F66">
        <f t="shared" ref="F66:F70" si="11">B66*E66/D66</f>
        <v>6.822058739837436E-2</v>
      </c>
      <c r="G66" t="s">
        <v>7</v>
      </c>
    </row>
    <row r="67" spans="1:8">
      <c r="A67">
        <v>4</v>
      </c>
      <c r="B67">
        <v>3.9525999999999999</v>
      </c>
      <c r="C67">
        <f t="shared" si="9"/>
        <v>4</v>
      </c>
      <c r="D67">
        <v>3.9163000000000001</v>
      </c>
      <c r="E67">
        <f t="shared" si="10"/>
        <v>3.6299999999999777E-2</v>
      </c>
      <c r="F67">
        <f t="shared" si="11"/>
        <v>3.6636462988024178E-2</v>
      </c>
      <c r="G67" t="s">
        <v>7</v>
      </c>
    </row>
    <row r="68" spans="1:8">
      <c r="A68">
        <v>3</v>
      </c>
      <c r="B68">
        <v>2.9794999999999998</v>
      </c>
      <c r="C68">
        <f t="shared" si="9"/>
        <v>3</v>
      </c>
      <c r="D68">
        <v>2.9319000000000002</v>
      </c>
      <c r="E68">
        <f t="shared" si="10"/>
        <v>4.7599999999999643E-2</v>
      </c>
      <c r="F68">
        <f t="shared" si="11"/>
        <v>4.8372795797946358E-2</v>
      </c>
      <c r="G68" t="s">
        <v>7</v>
      </c>
    </row>
    <row r="69" spans="1:8">
      <c r="A69">
        <v>2</v>
      </c>
      <c r="B69">
        <v>2.0005000000000002</v>
      </c>
      <c r="C69">
        <f t="shared" si="9"/>
        <v>2</v>
      </c>
      <c r="D69">
        <v>1.9561999999999999</v>
      </c>
      <c r="E69">
        <f t="shared" si="10"/>
        <v>4.4300000000000228E-2</v>
      </c>
      <c r="F69">
        <f t="shared" si="11"/>
        <v>4.5303215417646696E-2</v>
      </c>
      <c r="G69" t="s">
        <v>7</v>
      </c>
    </row>
    <row r="70" spans="1:8">
      <c r="A70">
        <v>1</v>
      </c>
      <c r="B70">
        <v>0.9899</v>
      </c>
      <c r="C70">
        <f t="shared" si="9"/>
        <v>1</v>
      </c>
      <c r="D70">
        <v>0.98660000000000003</v>
      </c>
      <c r="E70">
        <f t="shared" si="10"/>
        <v>3.2999999999999696E-3</v>
      </c>
      <c r="F70">
        <f t="shared" si="11"/>
        <v>3.3110379079667237E-3</v>
      </c>
      <c r="G70" t="s">
        <v>7</v>
      </c>
    </row>
  </sheetData>
  <mergeCells count="7">
    <mergeCell ref="C33:D33"/>
    <mergeCell ref="A33:B33"/>
    <mergeCell ref="A64:B64"/>
    <mergeCell ref="C64:D64"/>
    <mergeCell ref="A1:B1"/>
    <mergeCell ref="C1:D1"/>
    <mergeCell ref="A10:B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976FBC169D86478B3C5E3492CA8073" ma:contentTypeVersion="12" ma:contentTypeDescription="Utwórz nowy dokument." ma:contentTypeScope="" ma:versionID="42624dc466a9101fa713d53b886c8467">
  <xsd:schema xmlns:xsd="http://www.w3.org/2001/XMLSchema" xmlns:xs="http://www.w3.org/2001/XMLSchema" xmlns:p="http://schemas.microsoft.com/office/2006/metadata/properties" xmlns:ns2="e0af4f8b-8f5c-452a-90cb-83a4278621a7" xmlns:ns3="1021aa1f-fa31-47a3-b9bb-eaa16384bc0c" targetNamespace="http://schemas.microsoft.com/office/2006/metadata/properties" ma:root="true" ma:fieldsID="cc0d6ed68dcd971d88fe1cecdf2e4429" ns2:_="" ns3:_="">
    <xsd:import namespace="e0af4f8b-8f5c-452a-90cb-83a4278621a7"/>
    <xsd:import namespace="1021aa1f-fa31-47a3-b9bb-eaa16384b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f4f8b-8f5c-452a-90cb-83a4278621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1aa1f-fa31-47a3-b9bb-eaa16384b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fc20964-51ef-4eeb-bda2-539116241f4d}" ma:internalName="TaxCatchAll" ma:showField="CatchAllData" ma:web="1021aa1f-fa31-47a3-b9bb-eaa16384b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f4f8b-8f5c-452a-90cb-83a4278621a7">
      <Terms xmlns="http://schemas.microsoft.com/office/infopath/2007/PartnerControls"/>
    </lcf76f155ced4ddcb4097134ff3c332f>
    <TaxCatchAll xmlns="1021aa1f-fa31-47a3-b9bb-eaa16384bc0c" xsi:nil="true"/>
  </documentManagement>
</p:properties>
</file>

<file path=customXml/itemProps1.xml><?xml version="1.0" encoding="utf-8"?>
<ds:datastoreItem xmlns:ds="http://schemas.openxmlformats.org/officeDocument/2006/customXml" ds:itemID="{72CB885E-2FE0-46EF-98D8-F946EEE36B86}"/>
</file>

<file path=customXml/itemProps2.xml><?xml version="1.0" encoding="utf-8"?>
<ds:datastoreItem xmlns:ds="http://schemas.openxmlformats.org/officeDocument/2006/customXml" ds:itemID="{7364C5B6-2551-421C-B879-1C7D3982DB00}"/>
</file>

<file path=customXml/itemProps3.xml><?xml version="1.0" encoding="utf-8"?>
<ds:datastoreItem xmlns:ds="http://schemas.openxmlformats.org/officeDocument/2006/customXml" ds:itemID="{2E2CC2F7-03D3-4E25-B690-A98B39898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Tomasz Machnik</dc:creator>
  <cp:keywords/>
  <dc:description/>
  <cp:lastModifiedBy>Stanisław Karcz</cp:lastModifiedBy>
  <cp:revision/>
  <dcterms:created xsi:type="dcterms:W3CDTF">2024-08-06T08:24:17Z</dcterms:created>
  <dcterms:modified xsi:type="dcterms:W3CDTF">2024-09-08T13:09:14Z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0x01010063976FBC169D86478B3C5E3492CA8073</vt:lpwstr>
  </property>
  <property fmtid="{D5CDD505-2E9C-101B-9397-08002B2CF9AE}" pid="3" name="MediaServiceImageTags">
    <vt:lpwstr/>
  </property>
</Properties>
</file>