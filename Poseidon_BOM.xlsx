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9"/>
  <workbookPr/>
  <mc:AlternateContent xmlns:mc="http://schemas.openxmlformats.org/markup-compatibility/2006">
    <mc:Choice Requires="x15">
      <x15ac:absPath xmlns:x15ac="http://schemas.microsoft.com/office/spreadsheetml/2010/11/ac" url="D:\Pobrane\"/>
    </mc:Choice>
  </mc:AlternateContent>
  <xr:revisionPtr revIDLastSave="35" documentId="8_{69ACCCCA-C6D1-4849-96D4-DC655BA0DF44}" xr6:coauthVersionLast="47" xr6:coauthVersionMax="47" xr10:uidLastSave="{CD122F11-A6F6-4A1F-8424-014737622839}"/>
  <bookViews>
    <workbookView xWindow="-120" yWindow="540" windowWidth="29040" windowHeight="151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4" i="1"/>
  <c r="F15" i="1"/>
  <c r="F16" i="1"/>
  <c r="F17" i="1"/>
  <c r="F18" i="1"/>
  <c r="F19" i="1"/>
  <c r="F4" i="1"/>
  <c r="G17" i="1"/>
  <c r="H17" i="1"/>
  <c r="K17" i="1"/>
  <c r="K19" i="1"/>
  <c r="G19" i="1" s="1"/>
  <c r="H19" i="1"/>
  <c r="K15" i="1"/>
  <c r="G15" i="1" s="1"/>
  <c r="H16" i="1"/>
  <c r="G16" i="1"/>
  <c r="H15" i="1"/>
  <c r="K14" i="1"/>
  <c r="G14" i="1" s="1"/>
  <c r="H14" i="1"/>
  <c r="K16" i="1"/>
  <c r="K18" i="1"/>
  <c r="G18" i="1" s="1"/>
  <c r="H18" i="1"/>
  <c r="K13" i="1"/>
  <c r="H13" i="1"/>
  <c r="G13" i="1"/>
  <c r="K12" i="1"/>
  <c r="H12" i="1"/>
  <c r="G12" i="1"/>
  <c r="K11" i="1"/>
  <c r="H11" i="1"/>
  <c r="G11" i="1"/>
  <c r="K10" i="1"/>
  <c r="G10" i="1" s="1"/>
  <c r="H10" i="1"/>
  <c r="K9" i="1"/>
  <c r="G9" i="1" s="1"/>
  <c r="H9" i="1"/>
  <c r="K8" i="1"/>
  <c r="H8" i="1"/>
  <c r="G8" i="1"/>
  <c r="K7" i="1"/>
  <c r="H7" i="1"/>
  <c r="G7" i="1"/>
  <c r="K6" i="1"/>
  <c r="H6" i="1"/>
  <c r="G6" i="1"/>
  <c r="K5" i="1"/>
  <c r="H5" i="1"/>
  <c r="G5" i="1"/>
  <c r="K4" i="1"/>
  <c r="H4" i="1"/>
  <c r="G4" i="1"/>
  <c r="G2" i="1" l="1"/>
  <c r="F13" i="1"/>
  <c r="B2" i="1"/>
</calcChain>
</file>

<file path=xl/sharedStrings.xml><?xml version="1.0" encoding="utf-8"?>
<sst xmlns="http://schemas.openxmlformats.org/spreadsheetml/2006/main" count="65" uniqueCount="50">
  <si>
    <t>Poseidon Pumps</t>
  </si>
  <si>
    <t>Total for 3 pumps</t>
  </si>
  <si>
    <t>Per pump total</t>
  </si>
  <si>
    <t>Part Number</t>
  </si>
  <si>
    <t>Item Description</t>
  </si>
  <si>
    <t>Package Cost</t>
  </si>
  <si>
    <t>Items for 3 pumps</t>
  </si>
  <si>
    <t>Items per pump</t>
  </si>
  <si>
    <t>Cost for 3 pumps</t>
  </si>
  <si>
    <t>Cost per pump</t>
  </si>
  <si>
    <t>Cost for single pump</t>
  </si>
  <si>
    <t>Retailer</t>
  </si>
  <si>
    <t>Items per pack</t>
  </si>
  <si>
    <t>Price per item</t>
  </si>
  <si>
    <t>Link</t>
  </si>
  <si>
    <t>Nema 17 Stepper Motor (Bipolar)</t>
  </si>
  <si>
    <t>Amazon</t>
  </si>
  <si>
    <t>https://www.amazon.com/Stepper-Holding-Printer-Beauty-Star/dp/B075S98D46/ref=sr_1_7?ie=UTF8&amp;qid=1513805610&amp;sr=8-7&amp;keywords=nema%2B17%2Bstepper%2Bmotors&amp;th=1</t>
  </si>
  <si>
    <t>5mmx8mm Motor Shaft Coupling</t>
  </si>
  <si>
    <t>https://www.amazon.com/Aluminum-Flexible-Coupling-Printing-Pack/dp/B01EFFBM4I/ref=sr_1_2?s=industrial&amp;ie=UTF8&amp;qid=1513806714&amp;sr=1-2&amp;keywords=%225mm+to+5mm%22+shaft+coupling</t>
  </si>
  <si>
    <t>6mm Steel Rod (length 200mm)</t>
  </si>
  <si>
    <t>https://www.amazon.com/Steel-Round-Turning-Lathe-200mm/dp/B00LUSVKVY/ref=pd_sim_469_2?_encoding=UTF8&amp;pd_rd_i=B00LUSVKVY&amp;pd_rd_r=G7BG21YGXPVGEYXQ3GW3&amp;pd_rd_w=WYFjR&amp;pd_rd_wg=t8WZj&amp;psc=1&amp;refRID=G7BG21YGXPVGEYXQ3GW3</t>
  </si>
  <si>
    <t xml:space="preserve">6mm Linear Bearing </t>
  </si>
  <si>
    <t>https://www.amazon.com/uxcell-6mmx12mmx19mm-Linear-Bushing-Bearing/dp/B01MTLSZFQ/ref=sr_1_7?s=industrial&amp;ie=UTF8&amp;qid=1513712437&amp;sr=1-7&amp;keywords=linear+bearings+6mm</t>
  </si>
  <si>
    <t>TR8x2 Lead Screw (length 170mm)</t>
  </si>
  <si>
    <t>https://www.amazon.com/uxcell-170mm-Stainless-Threaded-Fasteners/dp/B01M4L8JDC/ref=sr_1_2?s=industrial&amp;ie=UTF8&amp;qid=1513712988&amp;sr=1-2&amp;keywords=m5+threaded+rod</t>
  </si>
  <si>
    <t>TR8x2 nut</t>
  </si>
  <si>
    <t>https://www.amazon.com/ReliaBot-Screw-Thread-Diameter-Printer/dp/B07TZCHP1N/ref=sr_1_2?crid=3Z1X9KMM0PPX&amp;dib=eyJ2IjoiMSJ9.h_bvtcrtO_nlqL1fW96p0EODeY32WMIJ9SoM7-I6-omTF8gl3Q63xrRlznizpDD2szfLOr_YQaNsVDHghO5YvpBilvDWOdc8tzWTwFKKhQjmZpjxH4TTaHS6wiBJrgMnKmRK4xMJv16ORCgpjCRe_EIh6jApIR-fkE0A2zCIo4OBBOsmUGJ89Ql9pGn1yrcsm9Hfjft5TEZyXm4XI2B1TwFYf7vw_My6Rxjv_jZEpN4.OQOxjjL7IYWlZJUHpoEs1fXNbzjJLD0pT0iPVn-JvB0&amp;dib_tag=se&amp;keywords=tr8x2%2Bnut&amp;qid=1721665227&amp;sprefix=tr8x2%2Bnu%2Caps%2C271&amp;sr=8-2&amp;th=1</t>
  </si>
  <si>
    <t>M3x16 socket head screws to mount motor</t>
  </si>
  <si>
    <t>https://www.amazon.com/Socket-Screw-Thread-stainless-100pcs/dp/B077XVVWYW/ref=sr_1_5?crid=1EN0BLR5CVZRU&amp;dib=eyJ2IjoiMSJ9.Lt6HaObu1i-qzIs1LhCp3GlatE6cOBZ5tPULytej-Zmi3jY3lcC35i9DQ_3fN6jiNKOHSTWQmBcr_hakeEFtZIQHmZmPZT5AB-79BEaNLDUAjhcaU85eSSUlYNEA3CRjkGBGB9QOvKGWv0V4DHYxbCh0GtqpVZwTw8UImvKm_d9YZWLxHhonuFS_W4-Il6KowTgPVRiK5iv_rw0b1GwDyN3yjEaBDHKImRF0vqgFs3E.KGmqExMoibxGrb3w8HMPlQxcOcvNDDB9wjN-ON4g3i4&amp;dib_tag=se&amp;keywords=m3+16mm+length&amp;qid=1721665338&amp;sprefix=m3+16mm+length%2Caps%2C163&amp;sr=8-5</t>
  </si>
  <si>
    <t>M3x10 socket head screws (hold rod in place, length 10mm)</t>
  </si>
  <si>
    <t>https://www.amazon.com/uxcell-M3x10mm-Thread-Stainless-Socket/dp/B01MFA9YEP/ref=sr_1_20?s=industrial&amp;ie=UTF8&amp;qid=1513713708&amp;sr=1-20&amp;keywords=m3+10mm+screws</t>
  </si>
  <si>
    <t>M3 nut (hold rod in place)</t>
  </si>
  <si>
    <t>https://www.amazon.com/100Pcs-Female-Thread-Fastener-Silver/dp/B00GYS1SXU/ref=sr_1_3?s=industrial&amp;ie=UTF8&amp;qid=1513713523&amp;sr=1-3&amp;keywords=m3+nuts</t>
  </si>
  <si>
    <t>M5 knob (hold syringe in place)</t>
  </si>
  <si>
    <t xml:space="preserve">https://www.thingiverse.com/thing:774472 </t>
  </si>
  <si>
    <t>M5 nut</t>
  </si>
  <si>
    <t>https://www.amazon.com/Nuts-M5-0-8-Stainless-Steel-100pcs/dp/B0BLBLBP93/ref=sr_1_2_sspa?dib=eyJ2IjoiMSJ9.VPeF1xvGDsQjLQ7tdozLeHWSJC0BpkcCH3FtRq3oiigJrOIO_VjaB69U_ftob0BToU9jIu6MEznqUncujbLbhOSbfd_CDNmQQkzAcE6O9TYPk1h8yZ3QsvQ-E3ClGpkBdDINO_vhYithoPDks11Y5zV6Fb56XXrMl3F3BvFc0XmmNkDFyW-mDT3DDtxE06hXsDsZMj_jqUZfTRmcYyLAVRafavTgwLvGeMG4csn0bb8.L-q8qa_cklgKNMXGFPiO4xd-PeAZjwxWgomvg7_D6yw&amp;dib_tag=se&amp;keywords=m5%2Bnut&amp;qid=1721665488&amp;sr=8-2-spons&amp;sp_csd=d2lkZ2V0TmFtZT1zcF9hdGY&amp;th=1</t>
  </si>
  <si>
    <t>M5 hex screw (length 40mm)</t>
  </si>
  <si>
    <t>https://www.amazon.com/Socket-Screws-Stainless-Metric-Machine/dp/B09LYK1TH1/ref=sr_1_3?crid=3OX68GPXRVMV5&amp;dib=eyJ2IjoiMSJ9.1tbd8i5BX-kzD_ItsIV5KCyvLStU3bE8hvYLVY00k-mwDA7adjIjP1TO-n758KMdF8uCytyL_DUNK2Po2MR9EAhdKgWxOy0pDw0cB9rO483KmWu8BnnNABmzbRn1OuwpWjZP4yBH1a0uExOs_gMHiP3-dhZw2-Zi8NPDsL1IV9eplBcZPLLbgpjRCj37IZcbjp4fGftjknbXvJJh3LfA_LV_FwHTHImaXawPQQjcubk.CX57F-9WppWf-Ao4krk5lXmb-gGZ3O8IUT0YYn0AcI0&amp;dib_tag=se&amp;keywords=m5%2Bhex%2Bscrew%2B40%2Bmm&amp;qid=1721665594&amp;sprefix=m5%2Bhex%2Bscrew%2B40%2Bmm%2Caps%2C202&amp;sr=8-3&amp;th=1</t>
  </si>
  <si>
    <t>Stepper driver a4988</t>
  </si>
  <si>
    <t>https://www.amazon.com/WWZMDiB-Stepstick-Stepper-Printer-Suitable/dp/B0BFQZWT6R/ref=sr_1_2_sspa?dib=eyJ2IjoiMSJ9.q48JIz0ko-_oEFG2me_uK2trtwJphrVsKJD62yeXieu55gdgp1hcIhp3jHSUKDYEkHIoxxBZ1OwNSzZVk8_mU_bRD7wTYKTgGLDWIkI5aAJ9f0KiuvW_1odSsS-HpLf5QUuOXWjNwgwFI619DNHrbNEDc6pbFu3jh10bALHyn3eS5mILdpaj6Yypl1BK81Zf_2f2MNHJI-L-gb5n9mlTFv_u0hDoT9NrcPnAadsUXZs.9REqYjKOcdMzwDjoxh0wrUaSEE7omyhHxwqSBTcorOE&amp;dib_tag=se&amp;keywords=A4988&amp;qid=1721665029&amp;sr=8-2-spons&amp;sp_csd=d2lkZ2V0TmFtZT1zcF9hdGY&amp;psc=1</t>
  </si>
  <si>
    <t>12V power unit (end stripped to fit CNC shield power input)</t>
  </si>
  <si>
    <t>https://www.amazon.com/Kastar-AC-Adapter-Power-LCD/dp/B003TUMDWG/ref=sr_1_14?s=electronics&amp;ie=UTF8&amp;qid=1516278773&amp;sr=1-14&amp;keywords=12v+psu</t>
  </si>
  <si>
    <t>Arduino Uno</t>
  </si>
  <si>
    <t>https://www.amazon.com/WWZMDiB-ATmega328P-microcontroller-Development-Compatible/dp/B0BV9XFQ5T/ref=sr_1_8?crid=2SRCGSPT16HZX&amp;dib=eyJ2IjoiMSJ9.MazmhFfn-DF8W5oyX_S-tH7qkt_WuogERq_8M3-FTf7RaTJjfJhh9u9oYVUHTxDJdG8N9is8TTwxW20GIE8Lc4DrQ5shlVe9w1Io7-y9xwdekJayq7hEzZIw1jOfJTi5GycXdu29GJcfrmOXMPuK4AOO37hMJxvwd0GOQvbAho7L9a4nPTjZb0Cw6Im_ZoRTt9-rqj7_Z7HeD9MMHHxvVSzLXMLcd6ZJCSNxVsNHPws.NRlkxHGopixsPiS-gfQXoWnLgyEbt7r4G7hXfHXSe4A&amp;dib_tag=se&amp;keywords=arduino+uno&amp;qid=1721665754&amp;sprefix=arduino+un%2Caps%2C211&amp;sr=8-8</t>
  </si>
  <si>
    <t>CNC Shield</t>
  </si>
  <si>
    <t>https://www.amazon.com/HiLetgo%C2%AE-Engraver-Printer-Expansion-Arduino/dp/B01D2HL9T8/ref=sr_1_1_sspa?crid=3GH90ZNHV33DS&amp;dib=eyJ2IjoiMSJ9.AJq7eMKomIPVBu18hJPSTySKMJLi_23nwJWijnuqFoX5TWLyR5a9pwDrxI8g3AyTHI25SG5tHmeIyvhgQr6I_vRe6_8njDB4mxRpNiugkgdtzLycS14FFcn4CpZjRdC9-UnkHsK2jnxvHYAb6aPWynfQlcbDs9qgOS0I8Mj2bMmtueRbX5AJ2wNrAKtnkxxOjUfu5sIRUwGPjwhDxZ_U1RbO-M5Svr3VNynLeRcJvio.LhTmGSnmxS-ZMd1j0NPEWYe9dO0q1kGpXoE3lqzIPRw&amp;dib_tag=se&amp;keywords=arduino+cnc+shield&amp;qid=1721665681&amp;sprefix=arduino+cnc+shield%2Caps%2C170&amp;sr=8-1-spons&amp;sp_csd=d2lkZ2V0TmFtZT1zcF9hdGY&amp;psc=1</t>
  </si>
  <si>
    <t>1M Bipolar Stepper Motor Cable 4pin Nema17 Stepper Motor Cable</t>
  </si>
  <si>
    <t>https://www.amazon.pl/SIENOC-krokowy-silnika-krokowego-dlugo%C5%9B%C4%87/dp/B077N4RYNX/ref=sr_1_3?__mk_pl_PL=%C3%85M%C3%85%C5%BD%C3%95%C3%91&amp;crid=2OCSF5FBNHVTB&amp;dib=eyJ2IjoiMSJ9.ZObcj5MWdZCxyyiwFUqDkRPFJ2FzVioFq-KsND7vHjB3q3K2KRCdvMTRbP-KeKNo8mZt-U26IELah7HOqIVZ9i0txFYVf0B4Lhw9zF3enbZnRmPdm1DGCAFe9G_EQeQBpnrIpeary0y8QBbwo4pPApPy8LdivRYJwH-1SUMPEt3I2IbmGcxC0S33Ad18HRzwspuvY36E2aYva-L5Xpssv-ZBmWECyGm5bAG5FM-YvUTWMnIwkSO9cKyl2_SkDzWODdmN-85MQ339o_Ae2QCH9vJKsOqtXvS29DyXUln1-yE.jQHDaZFnKRw4-hYcv1oVR7kvwI7J-DPLttIqjAadu5k&amp;dib_tag=se&amp;keywords=1M+Bipolar+Stepper+Motor+Cable+4pin+Nema17+Stepper+Motor+Cable&amp;qid=1724616205&amp;sprefix=1m+bipolar+stepper+motor+cable+4pin+nema17+stepper+motor+cable%2Caps%2C227&amp;sr=8-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</si>
</sst>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10">
    <font>
      <sz val="10"/>
      <color rgb="FF000000"/>
      <name val="Arial"/>
    </font>
    <font>
      <b/>
      <sz val="14"/>
      <name val="Arial"/>
    </font>
    <font>
      <sz val="10"/>
      <name val="Arial"/>
    </font>
    <font>
      <sz val="14"/>
      <name val="Arial"/>
    </font>
    <font>
      <b/>
      <sz val="10"/>
      <name val="Arial"/>
    </font>
    <font>
      <u/>
      <sz val="10"/>
      <color rgb="FF0000FF"/>
      <name val="Arial"/>
    </font>
    <font>
      <u/>
      <sz val="10"/>
      <color theme="10"/>
      <name val="Arial"/>
    </font>
    <font>
      <sz val="10"/>
      <color rgb="FF000000"/>
      <name val="Arial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7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164" fontId="3" fillId="0" borderId="0" xfId="0" applyNumberFormat="1" applyFont="1" applyAlignment="1">
      <alignment horizontal="left"/>
    </xf>
    <xf numFmtId="0" fontId="4" fillId="2" borderId="0" xfId="0" applyFont="1" applyFill="1"/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6" fillId="0" borderId="0" xfId="1"/>
    <xf numFmtId="43" fontId="2" fillId="0" borderId="0" xfId="2" applyFont="1"/>
    <xf numFmtId="43" fontId="0" fillId="0" borderId="0" xfId="2" applyFont="1"/>
    <xf numFmtId="43" fontId="8" fillId="0" borderId="0" xfId="2" applyFont="1" applyAlignment="1"/>
    <xf numFmtId="43" fontId="8" fillId="0" borderId="0" xfId="2" applyFont="1" applyBorder="1" applyAlignment="1"/>
    <xf numFmtId="2" fontId="0" fillId="0" borderId="0" xfId="0" applyNumberFormat="1" applyAlignment="1">
      <alignment horizontal="right"/>
    </xf>
    <xf numFmtId="2" fontId="4" fillId="2" borderId="0" xfId="0" applyNumberFormat="1" applyFont="1" applyFill="1"/>
    <xf numFmtId="0" fontId="6" fillId="0" borderId="0" xfId="3"/>
    <xf numFmtId="0" fontId="1" fillId="2" borderId="0" xfId="0" applyFont="1" applyFill="1" applyAlignment="1"/>
    <xf numFmtId="0" fontId="0" fillId="0" borderId="0" xfId="0" applyAlignment="1"/>
  </cellXfs>
  <cellStyles count="4">
    <cellStyle name="Dziesiętny" xfId="2" builtinId="3"/>
    <cellStyle name="Hiperłącze" xfId="1" builtinId="8"/>
    <cellStyle name="Hyperlink" xfId="3" xr:uid="{00000000-000B-0000-0000-000008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uxcell-M3x10mm-Thread-Stainless-Socket/dp/B01MFA9YEP/ref=sr_1_20?s=industrial&amp;ie=UTF8&amp;qid=1513713708&amp;sr=1-20&amp;keywords=m3+10mm+screws" TargetMode="External"/><Relationship Id="rId13" Type="http://schemas.openxmlformats.org/officeDocument/2006/relationships/hyperlink" Target="https://www.thingiverse.com/thing:774472" TargetMode="External"/><Relationship Id="rId3" Type="http://schemas.openxmlformats.org/officeDocument/2006/relationships/hyperlink" Target="https://www.amazon.com/Steel-Round-Turning-Lathe-200mm/dp/B00LUSVKVY/ref=pd_sim_469_2?_encoding=UTF8&amp;pd_rd_i=B00LUSVKVY&amp;pd_rd_r=G7BG21YGXPVGEYXQ3GW3&amp;pd_rd_w=WYFjR&amp;pd_rd_wg=t8WZj&amp;psc=1&amp;refRID=G7BG21YGXPVGEYXQ3GW3" TargetMode="External"/><Relationship Id="rId7" Type="http://schemas.openxmlformats.org/officeDocument/2006/relationships/hyperlink" Target="https://www.amazon.com/Socket-Screw-Thread-stainless-100pcs/dp/B077XVVWYW/ref=sr_1_5?crid=1EN0BLR5CVZRU&amp;dib=eyJ2IjoiMSJ9.Lt6HaObu1i-qzIs1LhCp3GlatE6cOBZ5tPULytej-Zmi3jY3lcC35i9DQ_3fN6jiNKOHSTWQmBcr_hakeEFtZIQHmZmPZT5AB-79BEaNLDUAjhcaU85eSSUlYNEA3CRjkGBGB9QOvKGWv0V4DHYxbCh0GtqpVZwTw8UImvKm_d9YZWLxHhonuFS_W4-Il6KowTgPVRiK5iv_rw0b1GwDyN3yjEaBDHKImRF0vqgFs3E.KGmqExMoibxGrb3w8HMPlQxcOcvNDDB9wjN-ON4g3i4&amp;dib_tag=se&amp;keywords=m3+16mm+length&amp;qid=1721665338&amp;sprefix=m3+16mm+length%2Caps%2C163&amp;sr=8-5" TargetMode="External"/><Relationship Id="rId12" Type="http://schemas.openxmlformats.org/officeDocument/2006/relationships/hyperlink" Target="https://www.amazon.com/Nuts-M5-0-8-Stainless-Steel-100pcs/dp/B0BLBLBP93/ref=sr_1_2_sspa?dib=eyJ2IjoiMSJ9.VPeF1xvGDsQjLQ7tdozLeHWSJC0BpkcCH3FtRq3oiigJrOIO_VjaB69U_ftob0BToU9jIu6MEznqUncujbLbhOSbfd_CDNmQQkzAcE6O9TYPk1h8yZ3QsvQ-E3ClGpkBdDINO_vhYithoPDks11Y5zV6Fb56XXrMl3F3BvFc0XmmNkDFyW-mDT3DDtxE06hXsDsZMj_jqUZfTRmcYyLAVRafavTgwLvGeMG4csn0bb8.L-q8qa_cklgKNMXGFPiO4xd-PeAZjwxWgomvg7_D6yw&amp;dib_tag=se&amp;keywords=m5%2Bnut&amp;qid=1721665488&amp;sr=8-2-spons&amp;sp_csd=d2lkZ2V0TmFtZT1zcF9hdGY&amp;th=1" TargetMode="External"/><Relationship Id="rId2" Type="http://schemas.openxmlformats.org/officeDocument/2006/relationships/hyperlink" Target="https://www.amazon.com/Aluminum-Flexible-Coupling-Printing-Pack/dp/B01EFFBM4I/ref=sr_1_2?s=industrial&amp;ie=UTF8&amp;qid=1513806714&amp;sr=1-2&amp;keywords=%225mm+to+5mm%22+shaft+coupling" TargetMode="External"/><Relationship Id="rId1" Type="http://schemas.openxmlformats.org/officeDocument/2006/relationships/hyperlink" Target="https://www.amazon.com/Stepper-Holding-Printer-Beauty-Star/dp/B075S98D46/ref=sr_1_7?ie=UTF8&amp;qid=1513805610&amp;sr=8-7&amp;keywords=nema%2B17%2Bstepper%2Bmotors&amp;th=1" TargetMode="External"/><Relationship Id="rId6" Type="http://schemas.openxmlformats.org/officeDocument/2006/relationships/hyperlink" Target="https://www.amazon.com/ReliaBot-Screw-Thread-Diameter-Printer/dp/B07TZCHP1N/ref=sr_1_2?crid=3Z1X9KMM0PPX&amp;dib=eyJ2IjoiMSJ9.h_bvtcrtO_nlqL1fW96p0EODeY32WMIJ9SoM7-I6-omTF8gl3Q63xrRlznizpDD2szfLOr_YQaNsVDHghO5YvpBilvDWOdc8tzWTwFKKhQjmZpjxH4TTaHS6wiBJrgMnKmRK4xMJv16ORCgpjCRe_EIh6jApIR-fkE0A2zCIo4OBBOsmUGJ89Ql9pGn1yrcsm9Hfjft5TEZyXm4XI2B1TwFYf7vw_My6Rxjv_jZEpN4.OQOxjjL7IYWlZJUHpoEs1fXNbzjJLD0pT0iPVn-JvB0&amp;dib_tag=se&amp;keywords=tr8x2%2Bnut&amp;qid=1721665227&amp;sprefix=tr8x2%2Bnu%2Caps%2C271&amp;sr=8-2&amp;th=1" TargetMode="External"/><Relationship Id="rId11" Type="http://schemas.openxmlformats.org/officeDocument/2006/relationships/hyperlink" Target="https://www.amazon.com/WWZMDiB-Stepstick-Stepper-Printer-Suitable/dp/B0BFQZWT6R/ref=sr_1_2_sspa?dib=eyJ2IjoiMSJ9.q48JIz0ko-_oEFG2me_uK2trtwJphrVsKJD62yeXieu55gdgp1hcIhp3jHSUKDYEkHIoxxBZ1OwNSzZVk8_mU_bRD7wTYKTgGLDWIkI5aAJ9f0KiuvW_1odSsS-HpLf5QUuOXWjNwgwFI619DNHrbNEDc6pbFu3jh10bALHyn3eS5mILdpaj6Yypl1BK81Zf_2f2MNHJI-L-gb5n9mlTFv_u0hDoT9NrcPnAadsUXZs.9REqYjKOcdMzwDjoxh0wrUaSEE7omyhHxwqSBTcorOE&amp;dib_tag=se&amp;keywords=A4988&amp;qid=1721665029&amp;sr=8-2-spons&amp;sp_csd=d2lkZ2V0TmFtZT1zcF9hdGY&amp;psc=1" TargetMode="External"/><Relationship Id="rId5" Type="http://schemas.openxmlformats.org/officeDocument/2006/relationships/hyperlink" Target="https://www.amazon.com/uxcell-170mm-Stainless-Threaded-Fasteners/dp/B01M4L8JDC/ref=sr_1_2?s=industrial&amp;ie=UTF8&amp;qid=1513712988&amp;sr=1-2&amp;keywords=m5+threaded+rod" TargetMode="External"/><Relationship Id="rId10" Type="http://schemas.openxmlformats.org/officeDocument/2006/relationships/hyperlink" Target="https://www.amazon.com/Kastar-AC-Adapter-Power-LCD/dp/B003TUMDWG/ref=sr_1_14?s=electronics&amp;ie=UTF8&amp;qid=1516278773&amp;sr=1-14&amp;keywords=12v+psu" TargetMode="External"/><Relationship Id="rId4" Type="http://schemas.openxmlformats.org/officeDocument/2006/relationships/hyperlink" Target="https://www.amazon.com/uxcell-6mmx12mmx19mm-Linear-Bushing-Bearing/dp/B01MTLSZFQ/ref=sr_1_7?s=industrial&amp;ie=UTF8&amp;qid=1513712437&amp;sr=1-7&amp;keywords=linear+bearings+6mm" TargetMode="External"/><Relationship Id="rId9" Type="http://schemas.openxmlformats.org/officeDocument/2006/relationships/hyperlink" Target="https://www.amazon.com/100Pcs-Female-Thread-Fastener-Silver/dp/B00GYS1SXU/ref=sr_1_3?s=industrial&amp;ie=UTF8&amp;qid=1513713523&amp;sr=1-3&amp;keywords=m3+nuts" TargetMode="External"/><Relationship Id="rId14" Type="http://schemas.openxmlformats.org/officeDocument/2006/relationships/hyperlink" Target="https://www.amazon.pl/SIENOC-krokowy-silnika-krokowego-dlugo%C5%9B%C4%87/dp/B077N4RYNX/ref=sr_1_3?__mk_pl_PL=%C3%85M%C3%85%C5%BD%C3%95%C3%91&amp;crid=2OCSF5FBNHVTB&amp;dib=eyJ2IjoiMSJ9.ZObcj5MWdZCxyyiwFUqDkRPFJ2FzVioFq-KsND7vHjB3q3K2KRCdvMTRbP-KeKNo8mZt-U26IELah7HOqIVZ9i0txFYVf0B4Lhw9zF3enbZnRmPdm1DGCAFe9G_EQeQBpnrIpeary0y8QBbwo4pPApPy8LdivRYJwH-1SUMPEt3I2IbmGcxC0S33Ad18HRzwspuvY36E2aYva-L5Xpssv-ZBmWECyGm5bAG5FM-YvUTWMnIwkSO9cKyl2_SkDzWODdmN-85MQ339o_Ae2QCH9vJKsOqtXvS29DyXUln1-yE.jQHDaZFnKRw4-hYcv1oVR7kvwI7J-DPLttIqjAadu5k&amp;dib_tag=se&amp;keywords=1M+Bipolar+Stepper+Motor+Cable+4pin+Nema17+Stepper+Motor+Cable&amp;qid=1724616205&amp;sprefix=1m+bipolar+stepper+motor+cable+4pin+nema17+stepper+motor+cable%2Caps%2C227&amp;sr=8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3"/>
  <sheetViews>
    <sheetView tabSelected="1" workbookViewId="0">
      <selection activeCell="N27" sqref="N27"/>
    </sheetView>
  </sheetViews>
  <sheetFormatPr defaultColWidth="14.42578125" defaultRowHeight="15.75" customHeight="1"/>
  <cols>
    <col min="1" max="1" width="23.85546875" customWidth="1"/>
    <col min="2" max="2" width="59.140625" customWidth="1"/>
    <col min="3" max="3" width="17.5703125" customWidth="1"/>
    <col min="4" max="4" width="21.42578125" customWidth="1"/>
    <col min="5" max="5" width="18.28515625" customWidth="1"/>
    <col min="6" max="6" width="18.5703125" customWidth="1"/>
    <col min="7" max="7" width="22" customWidth="1"/>
    <col min="8" max="8" width="19.7109375" customWidth="1"/>
    <col min="9" max="9" width="13" customWidth="1"/>
    <col min="10" max="10" width="13.85546875" customWidth="1"/>
  </cols>
  <sheetData>
    <row r="1" spans="1:12">
      <c r="A1" s="20" t="s">
        <v>0</v>
      </c>
      <c r="B1" s="21"/>
      <c r="L1" s="1"/>
    </row>
    <row r="2" spans="1:12" ht="18">
      <c r="A2" s="2" t="s">
        <v>1</v>
      </c>
      <c r="B2" s="3">
        <f>SUM(F4:F19)</f>
        <v>120.69531818181818</v>
      </c>
      <c r="F2" s="4" t="s">
        <v>2</v>
      </c>
      <c r="G2" s="18">
        <f>SUM(K4:K19)</f>
        <v>43.452318181818178</v>
      </c>
    </row>
    <row r="3" spans="1:12" ht="15.75" customHeight="1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</row>
    <row r="4" spans="1:12" ht="15.75" customHeight="1">
      <c r="A4" s="6">
        <v>1</v>
      </c>
      <c r="B4" s="1" t="s">
        <v>15</v>
      </c>
      <c r="C4" s="1">
        <v>33.99</v>
      </c>
      <c r="D4" s="1">
        <v>3</v>
      </c>
      <c r="E4" s="1">
        <v>1</v>
      </c>
      <c r="F4" s="17">
        <f>K4*D4</f>
        <v>33.99</v>
      </c>
      <c r="G4">
        <f t="shared" ref="G4:G16" si="0">K4*E4</f>
        <v>11.33</v>
      </c>
      <c r="H4" s="1">
        <f t="shared" ref="H4:H16" si="1">C4</f>
        <v>33.99</v>
      </c>
      <c r="I4" s="1" t="s">
        <v>16</v>
      </c>
      <c r="J4" s="1">
        <v>3</v>
      </c>
      <c r="K4" s="13">
        <f t="shared" ref="K4:K15" si="2">C4/J4</f>
        <v>11.33</v>
      </c>
      <c r="L4" s="12" t="s">
        <v>17</v>
      </c>
    </row>
    <row r="5" spans="1:12" ht="15.75" customHeight="1">
      <c r="A5" s="6">
        <v>2</v>
      </c>
      <c r="B5" s="1" t="s">
        <v>18</v>
      </c>
      <c r="C5" s="1">
        <v>22</v>
      </c>
      <c r="D5" s="1">
        <v>3</v>
      </c>
      <c r="E5" s="1">
        <v>1</v>
      </c>
      <c r="F5" s="17">
        <f>K5*D5</f>
        <v>6.6000000000000005</v>
      </c>
      <c r="G5">
        <f t="shared" si="0"/>
        <v>2.2000000000000002</v>
      </c>
      <c r="H5" s="1">
        <f t="shared" si="1"/>
        <v>22</v>
      </c>
      <c r="I5" s="1" t="s">
        <v>16</v>
      </c>
      <c r="J5" s="1">
        <v>10</v>
      </c>
      <c r="K5" s="13">
        <f t="shared" si="2"/>
        <v>2.2000000000000002</v>
      </c>
      <c r="L5" s="7" t="s">
        <v>19</v>
      </c>
    </row>
    <row r="6" spans="1:12" ht="15.75" customHeight="1">
      <c r="A6" s="6">
        <v>3</v>
      </c>
      <c r="B6" s="1" t="s">
        <v>20</v>
      </c>
      <c r="C6" s="1">
        <v>7.12</v>
      </c>
      <c r="D6" s="1">
        <v>6</v>
      </c>
      <c r="E6" s="1">
        <v>2</v>
      </c>
      <c r="F6" s="17">
        <f t="shared" ref="F5:F19" si="3">K6*D6</f>
        <v>21.36</v>
      </c>
      <c r="G6">
        <f t="shared" si="0"/>
        <v>7.12</v>
      </c>
      <c r="H6" s="1">
        <f t="shared" si="1"/>
        <v>7.12</v>
      </c>
      <c r="I6" s="1" t="s">
        <v>16</v>
      </c>
      <c r="J6" s="1">
        <v>2</v>
      </c>
      <c r="K6" s="13">
        <f t="shared" si="2"/>
        <v>3.56</v>
      </c>
      <c r="L6" s="7" t="s">
        <v>21</v>
      </c>
    </row>
    <row r="7" spans="1:12" ht="15.75" customHeight="1">
      <c r="A7" s="6">
        <v>4</v>
      </c>
      <c r="B7" s="1" t="s">
        <v>22</v>
      </c>
      <c r="C7" s="1">
        <v>12.49</v>
      </c>
      <c r="D7" s="1">
        <v>6</v>
      </c>
      <c r="E7" s="1">
        <v>2</v>
      </c>
      <c r="F7" s="17">
        <f t="shared" si="3"/>
        <v>6.2449999999999992</v>
      </c>
      <c r="G7">
        <f t="shared" si="0"/>
        <v>2.0816666666666666</v>
      </c>
      <c r="H7" s="1">
        <f t="shared" si="1"/>
        <v>12.49</v>
      </c>
      <c r="I7" s="1" t="s">
        <v>16</v>
      </c>
      <c r="J7" s="1">
        <v>12</v>
      </c>
      <c r="K7" s="13">
        <f t="shared" si="2"/>
        <v>1.0408333333333333</v>
      </c>
      <c r="L7" s="7" t="s">
        <v>23</v>
      </c>
    </row>
    <row r="8" spans="1:12" ht="15.75" customHeight="1">
      <c r="A8" s="6">
        <v>5</v>
      </c>
      <c r="B8" s="1" t="s">
        <v>24</v>
      </c>
      <c r="C8" s="1">
        <v>9.14</v>
      </c>
      <c r="D8" s="1">
        <v>3</v>
      </c>
      <c r="E8" s="1">
        <v>1</v>
      </c>
      <c r="F8" s="17">
        <f t="shared" si="3"/>
        <v>5.484</v>
      </c>
      <c r="G8">
        <f t="shared" si="0"/>
        <v>1.8280000000000001</v>
      </c>
      <c r="H8" s="1">
        <f t="shared" si="1"/>
        <v>9.14</v>
      </c>
      <c r="I8" s="1" t="s">
        <v>16</v>
      </c>
      <c r="J8" s="1">
        <v>5</v>
      </c>
      <c r="K8" s="13">
        <f t="shared" si="2"/>
        <v>1.8280000000000001</v>
      </c>
      <c r="L8" s="7" t="s">
        <v>25</v>
      </c>
    </row>
    <row r="9" spans="1:12" ht="15.75" customHeight="1">
      <c r="A9" s="6">
        <v>6</v>
      </c>
      <c r="B9" s="1" t="s">
        <v>26</v>
      </c>
      <c r="C9" s="1">
        <v>4.99</v>
      </c>
      <c r="D9" s="1">
        <v>3</v>
      </c>
      <c r="E9" s="1">
        <v>1</v>
      </c>
      <c r="F9" s="17">
        <f t="shared" si="3"/>
        <v>7.4850000000000003</v>
      </c>
      <c r="G9">
        <f t="shared" si="0"/>
        <v>2.4950000000000001</v>
      </c>
      <c r="H9" s="1">
        <f t="shared" si="1"/>
        <v>4.99</v>
      </c>
      <c r="I9" s="1" t="s">
        <v>16</v>
      </c>
      <c r="J9" s="1">
        <v>2</v>
      </c>
      <c r="K9" s="13">
        <f t="shared" si="2"/>
        <v>2.4950000000000001</v>
      </c>
      <c r="L9" s="12" t="s">
        <v>27</v>
      </c>
    </row>
    <row r="10" spans="1:12" ht="15.75" customHeight="1">
      <c r="A10" s="6">
        <v>7</v>
      </c>
      <c r="B10" s="1" t="s">
        <v>28</v>
      </c>
      <c r="C10" s="1">
        <v>6.35</v>
      </c>
      <c r="D10" s="1">
        <v>24</v>
      </c>
      <c r="E10" s="1">
        <v>4</v>
      </c>
      <c r="F10" s="17">
        <f t="shared" si="3"/>
        <v>1.524</v>
      </c>
      <c r="G10">
        <f t="shared" si="0"/>
        <v>0.254</v>
      </c>
      <c r="H10" s="1">
        <f t="shared" si="1"/>
        <v>6.35</v>
      </c>
      <c r="I10" s="1" t="s">
        <v>16</v>
      </c>
      <c r="J10" s="1">
        <v>100</v>
      </c>
      <c r="K10" s="13">
        <f t="shared" si="2"/>
        <v>6.3500000000000001E-2</v>
      </c>
      <c r="L10" s="12" t="s">
        <v>29</v>
      </c>
    </row>
    <row r="11" spans="1:12" ht="15.75" customHeight="1">
      <c r="A11" s="6">
        <v>8</v>
      </c>
      <c r="B11" s="1" t="s">
        <v>30</v>
      </c>
      <c r="C11" s="1">
        <v>7.8</v>
      </c>
      <c r="D11" s="1">
        <v>12</v>
      </c>
      <c r="E11" s="1">
        <v>4</v>
      </c>
      <c r="F11" s="17">
        <f t="shared" si="3"/>
        <v>1.7018181818181817</v>
      </c>
      <c r="G11">
        <f t="shared" si="0"/>
        <v>0.56727272727272726</v>
      </c>
      <c r="H11" s="1">
        <f t="shared" si="1"/>
        <v>7.8</v>
      </c>
      <c r="I11" s="1" t="s">
        <v>16</v>
      </c>
      <c r="J11" s="1">
        <v>55</v>
      </c>
      <c r="K11" s="13">
        <f t="shared" si="2"/>
        <v>0.14181818181818182</v>
      </c>
      <c r="L11" s="12" t="s">
        <v>31</v>
      </c>
    </row>
    <row r="12" spans="1:12" ht="15.75" customHeight="1">
      <c r="A12" s="6">
        <v>9</v>
      </c>
      <c r="B12" s="1" t="s">
        <v>32</v>
      </c>
      <c r="C12" s="1">
        <v>5.2</v>
      </c>
      <c r="D12" s="1">
        <v>1</v>
      </c>
      <c r="E12" s="1">
        <v>4</v>
      </c>
      <c r="F12" s="17">
        <f t="shared" si="3"/>
        <v>5.2000000000000005E-2</v>
      </c>
      <c r="G12">
        <f t="shared" si="0"/>
        <v>0.20800000000000002</v>
      </c>
      <c r="H12" s="1">
        <f t="shared" si="1"/>
        <v>5.2</v>
      </c>
      <c r="I12" s="1" t="s">
        <v>16</v>
      </c>
      <c r="J12" s="1">
        <v>100</v>
      </c>
      <c r="K12" s="13">
        <f t="shared" si="2"/>
        <v>5.2000000000000005E-2</v>
      </c>
      <c r="L12" s="7" t="s">
        <v>33</v>
      </c>
    </row>
    <row r="13" spans="1:12" ht="15.75" customHeight="1">
      <c r="A13" s="6">
        <v>10</v>
      </c>
      <c r="B13" s="1" t="s">
        <v>34</v>
      </c>
      <c r="C13" s="1">
        <v>0</v>
      </c>
      <c r="D13" s="1">
        <v>3</v>
      </c>
      <c r="E13" s="1">
        <v>1</v>
      </c>
      <c r="F13" s="17">
        <f t="shared" si="3"/>
        <v>0</v>
      </c>
      <c r="G13">
        <f t="shared" si="0"/>
        <v>0</v>
      </c>
      <c r="H13" s="1">
        <f t="shared" si="1"/>
        <v>0</v>
      </c>
      <c r="I13" s="1"/>
      <c r="J13" s="1">
        <v>10</v>
      </c>
      <c r="K13" s="13">
        <f t="shared" si="2"/>
        <v>0</v>
      </c>
      <c r="L13" s="19" t="s">
        <v>35</v>
      </c>
    </row>
    <row r="14" spans="1:12" ht="15.75" customHeight="1">
      <c r="A14" s="6">
        <v>11</v>
      </c>
      <c r="B14" s="1" t="s">
        <v>36</v>
      </c>
      <c r="C14" s="1">
        <v>6.99</v>
      </c>
      <c r="D14" s="1">
        <v>3</v>
      </c>
      <c r="E14" s="1">
        <v>1</v>
      </c>
      <c r="F14" s="17">
        <f t="shared" si="3"/>
        <v>0.2097</v>
      </c>
      <c r="G14">
        <f t="shared" si="0"/>
        <v>6.9900000000000004E-2</v>
      </c>
      <c r="H14" s="1">
        <f t="shared" si="1"/>
        <v>6.99</v>
      </c>
      <c r="I14" s="1" t="s">
        <v>16</v>
      </c>
      <c r="J14" s="1">
        <v>100</v>
      </c>
      <c r="K14" s="13">
        <f t="shared" si="2"/>
        <v>6.9900000000000004E-2</v>
      </c>
      <c r="L14" s="12" t="s">
        <v>37</v>
      </c>
    </row>
    <row r="15" spans="1:12" ht="15.75" customHeight="1">
      <c r="A15" s="6">
        <v>12</v>
      </c>
      <c r="B15" s="1" t="s">
        <v>38</v>
      </c>
      <c r="C15" s="1">
        <v>8.99</v>
      </c>
      <c r="D15" s="1">
        <v>3</v>
      </c>
      <c r="E15" s="1">
        <v>1</v>
      </c>
      <c r="F15" s="17">
        <f t="shared" si="3"/>
        <v>1.0788000000000002</v>
      </c>
      <c r="G15">
        <f t="shared" si="0"/>
        <v>0.35960000000000003</v>
      </c>
      <c r="H15" s="1">
        <f t="shared" si="1"/>
        <v>8.99</v>
      </c>
      <c r="I15" s="1" t="s">
        <v>16</v>
      </c>
      <c r="J15" s="1">
        <v>25</v>
      </c>
      <c r="K15" s="13">
        <f t="shared" si="2"/>
        <v>0.35960000000000003</v>
      </c>
      <c r="L15" s="7" t="s">
        <v>39</v>
      </c>
    </row>
    <row r="16" spans="1:12" ht="15.75" customHeight="1">
      <c r="A16" s="6">
        <v>13</v>
      </c>
      <c r="B16" s="10" t="s">
        <v>40</v>
      </c>
      <c r="C16" s="1">
        <v>7.99</v>
      </c>
      <c r="D16" s="1">
        <v>3</v>
      </c>
      <c r="E16" s="1">
        <v>1</v>
      </c>
      <c r="F16" s="17">
        <f t="shared" si="3"/>
        <v>7.99</v>
      </c>
      <c r="G16">
        <f t="shared" si="0"/>
        <v>2.6633333333333336</v>
      </c>
      <c r="H16" s="1">
        <f t="shared" si="1"/>
        <v>7.99</v>
      </c>
      <c r="I16" s="1" t="s">
        <v>16</v>
      </c>
      <c r="J16" s="10">
        <v>3</v>
      </c>
      <c r="K16" s="14">
        <f>C16/3</f>
        <v>2.6633333333333336</v>
      </c>
      <c r="L16" s="12" t="s">
        <v>41</v>
      </c>
    </row>
    <row r="17" spans="1:12" ht="15.75" customHeight="1">
      <c r="A17" s="6">
        <v>14</v>
      </c>
      <c r="B17" s="1" t="s">
        <v>42</v>
      </c>
      <c r="C17" s="1">
        <v>13.99</v>
      </c>
      <c r="D17" s="1">
        <v>3</v>
      </c>
      <c r="E17" s="1">
        <v>1</v>
      </c>
      <c r="F17" s="17">
        <f t="shared" si="3"/>
        <v>13.989999999999998</v>
      </c>
      <c r="G17">
        <f t="shared" ref="G17" si="4">K17*E17</f>
        <v>4.6633333333333331</v>
      </c>
      <c r="H17" s="1">
        <f t="shared" ref="H17" si="5">C17</f>
        <v>13.99</v>
      </c>
      <c r="I17" s="1" t="s">
        <v>16</v>
      </c>
      <c r="J17" s="10">
        <v>4</v>
      </c>
      <c r="K17" s="14">
        <f>C17/3</f>
        <v>4.6633333333333331</v>
      </c>
      <c r="L17" s="7" t="s">
        <v>43</v>
      </c>
    </row>
    <row r="18" spans="1:12" ht="15.75" customHeight="1">
      <c r="A18" s="9">
        <v>15</v>
      </c>
      <c r="B18" s="10" t="s">
        <v>44</v>
      </c>
      <c r="C18" s="10">
        <v>8.99</v>
      </c>
      <c r="D18" s="10">
        <v>1</v>
      </c>
      <c r="E18" s="10">
        <v>0.33</v>
      </c>
      <c r="F18" s="17">
        <f t="shared" si="3"/>
        <v>8.99</v>
      </c>
      <c r="G18" s="11">
        <f>K18*E18</f>
        <v>2.9667000000000003</v>
      </c>
      <c r="H18" s="10">
        <f>C18</f>
        <v>8.99</v>
      </c>
      <c r="I18" s="10" t="s">
        <v>16</v>
      </c>
      <c r="J18" s="10">
        <v>1</v>
      </c>
      <c r="K18" s="15">
        <f>C18/J18</f>
        <v>8.99</v>
      </c>
      <c r="L18" s="7" t="s">
        <v>45</v>
      </c>
    </row>
    <row r="19" spans="1:12" ht="15.75" customHeight="1">
      <c r="A19" s="9">
        <v>16</v>
      </c>
      <c r="B19" s="10" t="s">
        <v>46</v>
      </c>
      <c r="C19" s="10">
        <v>7.99</v>
      </c>
      <c r="D19" s="10">
        <v>1</v>
      </c>
      <c r="E19" s="10">
        <v>0.33</v>
      </c>
      <c r="F19" s="17">
        <f t="shared" si="3"/>
        <v>3.9950000000000001</v>
      </c>
      <c r="G19" s="10">
        <f>K19*E19</f>
        <v>1.3183500000000001</v>
      </c>
      <c r="H19" s="10">
        <f>C19</f>
        <v>7.99</v>
      </c>
      <c r="I19" s="10" t="s">
        <v>16</v>
      </c>
      <c r="J19" s="10">
        <v>2</v>
      </c>
      <c r="K19" s="16">
        <f>C19/J19</f>
        <v>3.9950000000000001</v>
      </c>
      <c r="L19" s="10" t="s">
        <v>47</v>
      </c>
    </row>
    <row r="20" spans="1:12" ht="15.75" customHeight="1">
      <c r="A20" s="6">
        <v>17</v>
      </c>
      <c r="B20" s="1" t="s">
        <v>48</v>
      </c>
      <c r="C20" s="1">
        <v>10</v>
      </c>
      <c r="D20" s="1">
        <v>3</v>
      </c>
      <c r="E20" s="1">
        <v>1</v>
      </c>
      <c r="F20">
        <v>30</v>
      </c>
      <c r="G20" s="1">
        <v>10</v>
      </c>
      <c r="H20" s="1">
        <v>10</v>
      </c>
      <c r="I20" s="10" t="s">
        <v>16</v>
      </c>
      <c r="J20" s="1">
        <v>1</v>
      </c>
      <c r="L20" s="19" t="s">
        <v>49</v>
      </c>
    </row>
    <row r="21" spans="1:12" ht="15.75" customHeight="1">
      <c r="A21" s="6"/>
      <c r="B21" s="1"/>
      <c r="C21" s="1"/>
      <c r="D21" s="1"/>
      <c r="E21" s="1"/>
      <c r="G21" s="1"/>
      <c r="H21" s="1"/>
      <c r="I21" s="7"/>
      <c r="J21" s="1"/>
    </row>
    <row r="22" spans="1:12" ht="15.75" customHeight="1">
      <c r="A22" s="6"/>
      <c r="B22" s="1"/>
      <c r="C22" s="1"/>
      <c r="D22" s="1"/>
      <c r="E22" s="1"/>
      <c r="G22" s="1"/>
      <c r="H22" s="1"/>
      <c r="I22" s="7"/>
      <c r="J22" s="1"/>
    </row>
    <row r="23" spans="1:12" ht="15.75" customHeight="1">
      <c r="A23" s="6"/>
      <c r="B23" s="1"/>
      <c r="C23" s="1"/>
      <c r="D23" s="1"/>
      <c r="E23" s="1"/>
      <c r="G23" s="1"/>
      <c r="H23" s="1"/>
      <c r="I23" s="7"/>
      <c r="J23" s="1"/>
    </row>
    <row r="24" spans="1:12" ht="15.75" customHeight="1">
      <c r="A24" s="6"/>
      <c r="B24" s="1"/>
      <c r="C24" s="1"/>
      <c r="D24" s="1"/>
      <c r="E24" s="1"/>
      <c r="G24" s="1"/>
      <c r="H24" s="1"/>
      <c r="I24" s="7"/>
      <c r="J24" s="1"/>
    </row>
    <row r="25" spans="1:12" ht="15.75" customHeight="1">
      <c r="A25" s="6"/>
      <c r="B25" s="1"/>
      <c r="C25" s="1"/>
      <c r="D25" s="1"/>
      <c r="E25" s="1"/>
      <c r="G25" s="1"/>
      <c r="H25" s="1"/>
      <c r="I25" s="7"/>
      <c r="J25" s="1"/>
    </row>
    <row r="26" spans="1:12" ht="15.75" customHeight="1">
      <c r="A26" s="6"/>
      <c r="B26" s="1"/>
      <c r="C26" s="1"/>
      <c r="D26" s="1"/>
      <c r="E26" s="1"/>
      <c r="G26" s="1"/>
      <c r="H26" s="1"/>
      <c r="I26" s="7"/>
      <c r="J26" s="1"/>
    </row>
    <row r="27" spans="1:12" ht="15.75" customHeight="1">
      <c r="A27" s="6"/>
      <c r="B27" s="1"/>
      <c r="C27" s="1"/>
      <c r="D27" s="1"/>
      <c r="E27" s="1"/>
      <c r="G27" s="1"/>
      <c r="H27" s="1"/>
      <c r="I27" s="7"/>
      <c r="J27" s="1"/>
    </row>
    <row r="28" spans="1:12" ht="15.75" customHeight="1">
      <c r="A28" s="6"/>
      <c r="B28" s="1"/>
      <c r="C28" s="1"/>
      <c r="D28" s="1"/>
      <c r="E28" s="1"/>
      <c r="G28" s="1"/>
      <c r="H28" s="1"/>
      <c r="I28" s="7"/>
      <c r="J28" s="1"/>
    </row>
    <row r="31" spans="1:12" ht="15.75" customHeight="1">
      <c r="A31" s="8"/>
    </row>
    <row r="33" spans="1:1" ht="15.75" customHeight="1">
      <c r="A33" s="8"/>
    </row>
  </sheetData>
  <mergeCells count="1">
    <mergeCell ref="A1:B1"/>
  </mergeCells>
  <hyperlinks>
    <hyperlink ref="L4" r:id="rId1" xr:uid="{00000000-0004-0000-0000-000000000000}"/>
    <hyperlink ref="L5" r:id="rId2" xr:uid="{00000000-0004-0000-0000-000001000000}"/>
    <hyperlink ref="L6" r:id="rId3" xr:uid="{00000000-0004-0000-0000-000002000000}"/>
    <hyperlink ref="L7" r:id="rId4" xr:uid="{00000000-0004-0000-0000-000003000000}"/>
    <hyperlink ref="L8" r:id="rId5" xr:uid="{00000000-0004-0000-0000-000004000000}"/>
    <hyperlink ref="L9" r:id="rId6" display="https://www.amazon.com/ReliaBot-Screw-Thread-Diameter-Printer/dp/B07TZCHP1N/ref=sr_1_2?crid=3Z1X9KMM0PPX&amp;dib=eyJ2IjoiMSJ9.h_bvtcrtO_nlqL1fW96p0EODeY32WMIJ9SoM7-I6-omTF8gl3Q63xrRlznizpDD2szfLOr_YQaNsVDHghO5YvpBilvDWOdc8tzWTwFKKhQjmZpjxH4TTaHS6wiBJrgMnKmRK4xMJv16ORCgpjCRe_EIh6jApIR-fkE0A2zCIo4OBBOsmUGJ89Ql9pGn1yrcsm9Hfjft5TEZyXm4XI2B1TwFYf7vw_My6Rxjv_jZEpN4.OQOxjjL7IYWlZJUHpoEs1fXNbzjJLD0pT0iPVn-JvB0&amp;dib_tag=se&amp;keywords=tr8x2%2Bnut&amp;qid=1721665227&amp;sprefix=tr8x2%2Bnu%2Caps%2C271&amp;sr=8-2&amp;th=1" xr:uid="{00000000-0004-0000-0000-000005000000}"/>
    <hyperlink ref="L10" r:id="rId7" display="https://www.amazon.com/Socket-Screw-Thread-stainless-100pcs/dp/B077XVVWYW/ref=sr_1_5?crid=1EN0BLR5CVZRU&amp;dib=eyJ2IjoiMSJ9.Lt6HaObu1i-qzIs1LhCp3GlatE6cOBZ5tPULytej-Zmi3jY3lcC35i9DQ_3fN6jiNKOHSTWQmBcr_hakeEFtZIQHmZmPZT5AB-79BEaNLDUAjhcaU85eSSUlYNEA3CRjkGBGB9QOvKGWv0V4DHYxbCh0GtqpVZwTw8UImvKm_d9YZWLxHhonuFS_W4-Il6KowTgPVRiK5iv_rw0b1GwDyN3yjEaBDHKImRF0vqgFs3E.KGmqExMoibxGrb3w8HMPlQxcOcvNDDB9wjN-ON4g3i4&amp;dib_tag=se&amp;keywords=m3+16mm+length&amp;qid=1721665338&amp;sprefix=m3+16mm+length%2Caps%2C163&amp;sr=8-5" xr:uid="{00000000-0004-0000-0000-000006000000}"/>
    <hyperlink ref="L11" r:id="rId8" xr:uid="{00000000-0004-0000-0000-000007000000}"/>
    <hyperlink ref="L12" r:id="rId9" xr:uid="{00000000-0004-0000-0000-000008000000}"/>
    <hyperlink ref="L17" r:id="rId10" xr:uid="{824C8E32-F999-494B-95FD-9D8E2CCC2DE9}"/>
    <hyperlink ref="L16" r:id="rId11" display="https://www.amazon.com/WWZMDiB-Stepstick-Stepper-Printer-Suitable/dp/B0BFQZWT6R/ref=sr_1_2_sspa?dib=eyJ2IjoiMSJ9.q48JIz0ko-_oEFG2me_uK2trtwJphrVsKJD62yeXieu55gdgp1hcIhp3jHSUKDYEkHIoxxBZ1OwNSzZVk8_mU_bRD7wTYKTgGLDWIkI5aAJ9f0KiuvW_1odSsS-HpLf5QUuOXWjNwgwFI619DNHrbNEDc6pbFu3jh10bALHyn3eS5mILdpaj6Yypl1BK81Zf_2f2MNHJI-L-gb5n9mlTFv_u0hDoT9NrcPnAadsUXZs.9REqYjKOcdMzwDjoxh0wrUaSEE7omyhHxwqSBTcorOE&amp;dib_tag=se&amp;keywords=A4988&amp;qid=1721665029&amp;sr=8-2-spons&amp;sp_csd=d2lkZ2V0TmFtZT1zcF9hdGY&amp;psc=1" xr:uid="{81532416-3EA9-4A34-AFBB-17FCCE6F31FD}"/>
    <hyperlink ref="L14" r:id="rId12" display="https://www.amazon.com/Nuts-M5-0-8-Stainless-Steel-100pcs/dp/B0BLBLBP93/ref=sr_1_2_sspa?dib=eyJ2IjoiMSJ9.VPeF1xvGDsQjLQ7tdozLeHWSJC0BpkcCH3FtRq3oiigJrOIO_VjaB69U_ftob0BToU9jIu6MEznqUncujbLbhOSbfd_CDNmQQkzAcE6O9TYPk1h8yZ3QsvQ-E3ClGpkBdDINO_vhYithoPDks11Y5zV6Fb56XXrMl3F3BvFc0XmmNkDFyW-mDT3DDtxE06hXsDsZMj_jqUZfTRmcYyLAVRafavTgwLvGeMG4csn0bb8.L-q8qa_cklgKNMXGFPiO4xd-PeAZjwxWgomvg7_D6yw&amp;dib_tag=se&amp;keywords=m5%2Bnut&amp;qid=1721665488&amp;sr=8-2-spons&amp;sp_csd=d2lkZ2V0TmFtZT1zcF9hdGY&amp;th=1" xr:uid="{0E9C4719-F7AF-41C6-B965-00C1EEE71B84}"/>
    <hyperlink ref="L13" r:id="rId13" xr:uid="{F49E0B8C-0F1C-4ECC-A0F9-5906D0B024B0}"/>
    <hyperlink ref="L20" r:id="rId14" display="https://www.amazon.pl/SIENOC-krokowy-silnika-krokowego-dlugo%C5%9B%C4%87/dp/B077N4RYNX/ref=sr_1_3?__mk_pl_PL=%C3%85M%C3%85%C5%BD%C3%95%C3%91&amp;crid=2OCSF5FBNHVTB&amp;dib=eyJ2IjoiMSJ9.ZObcj5MWdZCxyyiwFUqDkRPFJ2FzVioFq-KsND7vHjB3q3K2KRCdvMTRbP-KeKNo8mZt-U26IELah7HOqIVZ9i0txFYVf0B4Lhw9zF3enbZnRmPdm1DGCAFe9G_EQeQBpnrIpeary0y8QBbwo4pPApPy8LdivRYJwH-1SUMPEt3I2IbmGcxC0S33Ad18HRzwspuvY36E2aYva-L5Xpssv-ZBmWECyGm5bAG5FM-YvUTWMnIwkSO9cKyl2_SkDzWODdmN-85MQ339o_Ae2QCH9vJKsOqtXvS29DyXUln1-yE.jQHDaZFnKRw4-hYcv1oVR7kvwI7J-DPLttIqjAadu5k&amp;dib_tag=se&amp;keywords=1M+Bipolar+Stepper+Motor+Cable+4pin+Nema17+Stepper+Motor+Cable&amp;qid=1724616205&amp;sprefix=1m+bipolar+stepper+motor+cable+4pin+nema17+stepper+motor+cable%2Caps%2C227&amp;sr=8-3" xr:uid="{D53F3F65-E2D8-44B8-B21F-C149BE06D88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3976FBC169D86478B3C5E3492CA8073" ma:contentTypeVersion="12" ma:contentTypeDescription="Utwórz nowy dokument." ma:contentTypeScope="" ma:versionID="42624dc466a9101fa713d53b886c8467">
  <xsd:schema xmlns:xsd="http://www.w3.org/2001/XMLSchema" xmlns:xs="http://www.w3.org/2001/XMLSchema" xmlns:p="http://schemas.microsoft.com/office/2006/metadata/properties" xmlns:ns2="e0af4f8b-8f5c-452a-90cb-83a4278621a7" xmlns:ns3="1021aa1f-fa31-47a3-b9bb-eaa16384bc0c" targetNamespace="http://schemas.microsoft.com/office/2006/metadata/properties" ma:root="true" ma:fieldsID="cc0d6ed68dcd971d88fe1cecdf2e4429" ns2:_="" ns3:_="">
    <xsd:import namespace="e0af4f8b-8f5c-452a-90cb-83a4278621a7"/>
    <xsd:import namespace="1021aa1f-fa31-47a3-b9bb-eaa16384bc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f4f8b-8f5c-452a-90cb-83a4278621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21aa1f-fa31-47a3-b9bb-eaa16384bc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fc20964-51ef-4eeb-bda2-539116241f4d}" ma:internalName="TaxCatchAll" ma:showField="CatchAllData" ma:web="1021aa1f-fa31-47a3-b9bb-eaa16384b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af4f8b-8f5c-452a-90cb-83a4278621a7">
      <Terms xmlns="http://schemas.microsoft.com/office/infopath/2007/PartnerControls"/>
    </lcf76f155ced4ddcb4097134ff3c332f>
    <TaxCatchAll xmlns="1021aa1f-fa31-47a3-b9bb-eaa16384bc0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854507-D7E4-4C69-B97D-0F9BC96412CC}"/>
</file>

<file path=customXml/itemProps2.xml><?xml version="1.0" encoding="utf-8"?>
<ds:datastoreItem xmlns:ds="http://schemas.openxmlformats.org/officeDocument/2006/customXml" ds:itemID="{28D164C6-00AE-4048-9928-3FB3E79C15CB}"/>
</file>

<file path=customXml/itemProps3.xml><?xml version="1.0" encoding="utf-8"?>
<ds:datastoreItem xmlns:ds="http://schemas.openxmlformats.org/officeDocument/2006/customXml" ds:itemID="{FF099EE2-6B60-4271-AD1D-4138DD60A1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Stanisław Karcz</cp:lastModifiedBy>
  <cp:revision/>
  <dcterms:created xsi:type="dcterms:W3CDTF">2024-07-22T16:42:38Z</dcterms:created>
  <dcterms:modified xsi:type="dcterms:W3CDTF">2024-08-25T20:04:46Z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0x01010063976FBC169D86478B3C5E3492CA8073</vt:lpwstr>
  </property>
</Properties>
</file>